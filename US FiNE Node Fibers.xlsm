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EAI Planning\Network\FiNE - General Info\"/>
    </mc:Choice>
  </mc:AlternateContent>
  <bookViews>
    <workbookView xWindow="0" yWindow="0" windowWidth="28800" windowHeight="12300"/>
  </bookViews>
  <sheets>
    <sheet name="Active Circuits" sheetId="4" r:id="rId1"/>
    <sheet name="Names" sheetId="11" state="hidden" r:id="rId2"/>
    <sheet name="Cross-Connects" sheetId="7" r:id="rId3"/>
    <sheet name="Inactive FiNE Circuits" sheetId="6" r:id="rId4"/>
    <sheet name="Nodefibers (OLD)" sheetId="2" state="hidden" r:id="rId5"/>
    <sheet name="DC&amp;LA Local Loops (OLD)" sheetId="3" state="hidden" r:id="rId6"/>
  </sheets>
  <definedNames>
    <definedName name="_xlnm._FilterDatabase" localSheetId="4" hidden="1">'Nodefibers (OLD)'!$A$1:$H$74</definedName>
    <definedName name="_xlnm.Print_Area" localSheetId="0">'Active Circuits'!$A$1:$O$58</definedName>
    <definedName name="_xlnm.Print_Area" localSheetId="2">'Cross-Connects'!$A$1:$Q$46</definedName>
    <definedName name="Regions">Names!$A$2:$A$17</definedName>
  </definedNames>
  <calcPr calcId="162913"/>
</workbook>
</file>

<file path=xl/calcChain.xml><?xml version="1.0" encoding="utf-8"?>
<calcChain xmlns="http://schemas.openxmlformats.org/spreadsheetml/2006/main">
  <c r="O47" i="7" l="1"/>
  <c r="O46" i="7"/>
  <c r="B2" i="7"/>
  <c r="B2" i="4"/>
</calcChain>
</file>

<file path=xl/sharedStrings.xml><?xml version="1.0" encoding="utf-8"?>
<sst xmlns="http://schemas.openxmlformats.org/spreadsheetml/2006/main" count="2958" uniqueCount="1082">
  <si>
    <t>Origin</t>
  </si>
  <si>
    <t>Destination</t>
  </si>
  <si>
    <t>Provider</t>
  </si>
  <si>
    <t>Service</t>
  </si>
  <si>
    <t>Circuit ID</t>
  </si>
  <si>
    <t>AT&amp;T</t>
  </si>
  <si>
    <t>104871AB</t>
  </si>
  <si>
    <t>DS-3</t>
  </si>
  <si>
    <t>FRO2004141131PL3</t>
  </si>
  <si>
    <t>KDDI</t>
  </si>
  <si>
    <t>BBRR2904</t>
  </si>
  <si>
    <t>BBSM2802</t>
  </si>
  <si>
    <t>Lightower Networks</t>
  </si>
  <si>
    <t>BBYG0987</t>
  </si>
  <si>
    <t>BBYF9178</t>
  </si>
  <si>
    <t>Level3</t>
  </si>
  <si>
    <t>BBYF9199</t>
  </si>
  <si>
    <t>BBYG0899</t>
  </si>
  <si>
    <t>BCDF1865</t>
  </si>
  <si>
    <t>PCCW</t>
  </si>
  <si>
    <t>EURO13-39358-ELE</t>
  </si>
  <si>
    <t>Los Angeles</t>
  </si>
  <si>
    <t>OC-12</t>
  </si>
  <si>
    <t>Ponte Vedra - PGA</t>
  </si>
  <si>
    <t>OC-3</t>
  </si>
  <si>
    <t>LGLS_BW</t>
  </si>
  <si>
    <t>Miami</t>
  </si>
  <si>
    <t>100Base-T</t>
  </si>
  <si>
    <t>BBTF7236</t>
  </si>
  <si>
    <t>Washington phone circuits</t>
  </si>
  <si>
    <t>BBQX5297</t>
  </si>
  <si>
    <t>New York - The Switch</t>
  </si>
  <si>
    <t>Rio de Janeiro</t>
  </si>
  <si>
    <t>New York - TV Record</t>
  </si>
  <si>
    <t>New York - 60 Hudson</t>
  </si>
  <si>
    <t>New York - EAI</t>
  </si>
  <si>
    <t>Los Angeles - LA PoP</t>
  </si>
  <si>
    <t>35585 / S13032LI</t>
  </si>
  <si>
    <t>36058 / S14503LI</t>
  </si>
  <si>
    <t>Sidera</t>
  </si>
  <si>
    <t>The Switch</t>
  </si>
  <si>
    <t>Zayo</t>
  </si>
  <si>
    <t>Interoute</t>
  </si>
  <si>
    <t>Maintained by KDDI</t>
  </si>
  <si>
    <t>WSHT1</t>
  </si>
  <si>
    <t>WSHT3</t>
  </si>
  <si>
    <t>NWYK</t>
  </si>
  <si>
    <t>NWYK_SW</t>
  </si>
  <si>
    <t>NWYK.POP</t>
  </si>
  <si>
    <t>3:1</t>
  </si>
  <si>
    <t>1:1</t>
  </si>
  <si>
    <t>5:1</t>
  </si>
  <si>
    <t>9:1</t>
  </si>
  <si>
    <t>9:2</t>
  </si>
  <si>
    <t>9:3</t>
  </si>
  <si>
    <t>9:4</t>
  </si>
  <si>
    <t>9:5</t>
  </si>
  <si>
    <t>4:2</t>
  </si>
  <si>
    <t>4:3</t>
  </si>
  <si>
    <t>6:2</t>
  </si>
  <si>
    <t>8:1</t>
  </si>
  <si>
    <t>1:3</t>
  </si>
  <si>
    <t>1:6</t>
  </si>
  <si>
    <t>3:2</t>
  </si>
  <si>
    <t>3:3</t>
  </si>
  <si>
    <t>3:4</t>
  </si>
  <si>
    <t>8:5</t>
  </si>
  <si>
    <t>Port</t>
  </si>
  <si>
    <t>MNSS</t>
  </si>
  <si>
    <t>MIAM.POP</t>
  </si>
  <si>
    <t>NWYK.NBA2</t>
  </si>
  <si>
    <t>DENV.WCSN</t>
  </si>
  <si>
    <t>NWYK.NBA1</t>
  </si>
  <si>
    <t>ROJA_POP</t>
  </si>
  <si>
    <t>NWYK_TVR</t>
  </si>
  <si>
    <t>NWYK_BRTVG</t>
  </si>
  <si>
    <t>TKYO.EQNX</t>
  </si>
  <si>
    <t>LGLS_KDDI</t>
  </si>
  <si>
    <t>SYDN.EQNX</t>
  </si>
  <si>
    <t>LGLS.FOX</t>
  </si>
  <si>
    <t>LGLS.PACTV</t>
  </si>
  <si>
    <t>2:1</t>
  </si>
  <si>
    <t>4:1</t>
  </si>
  <si>
    <t>1:2</t>
  </si>
  <si>
    <t>Port2</t>
  </si>
  <si>
    <t>1G</t>
  </si>
  <si>
    <t>500 Mb (Gig-E)</t>
  </si>
  <si>
    <t>BBKG5120</t>
  </si>
  <si>
    <t>Washington MVNS (VYVX ASI) connectivity</t>
  </si>
  <si>
    <t>10G</t>
  </si>
  <si>
    <t>13TRGS700642PT + 13TRGS700643PT</t>
  </si>
  <si>
    <t>BCGV8305</t>
  </si>
  <si>
    <t>FFTM.ANCO</t>
  </si>
  <si>
    <t>EUBU1/10GbWL/140400</t>
  </si>
  <si>
    <t>EUBU1/10GbWL/140401</t>
  </si>
  <si>
    <t>Disconnected 18-March</t>
  </si>
  <si>
    <t>1:4</t>
  </si>
  <si>
    <t>LocA: Rack H1C 01 / Shelf 17 / Port 25/26 || LocZ: Rack CAB1504.06</t>
  </si>
  <si>
    <t>GNVE3</t>
  </si>
  <si>
    <t>BCFV0017</t>
  </si>
  <si>
    <t>11:1</t>
  </si>
  <si>
    <t>SAFD.USNBCN</t>
  </si>
  <si>
    <t>15:1</t>
  </si>
  <si>
    <t>PVBE.PGA2</t>
  </si>
  <si>
    <t>16:1</t>
  </si>
  <si>
    <t>2.5G (OC-48)</t>
  </si>
  <si>
    <t>SAFD.NBC2</t>
  </si>
  <si>
    <t>BCMQ8179</t>
  </si>
  <si>
    <t>BCLY9146</t>
  </si>
  <si>
    <t>BCMJ9540</t>
  </si>
  <si>
    <t>EWCL.CNBC</t>
  </si>
  <si>
    <t>KRGN-979979</t>
  </si>
  <si>
    <t>12:1</t>
  </si>
  <si>
    <t>WSHT2</t>
  </si>
  <si>
    <t>3:5</t>
  </si>
  <si>
    <t>ROJA.EQNX</t>
  </si>
  <si>
    <t>FRO2004136157</t>
  </si>
  <si>
    <t>Access provider circuit ID: 52KRGN700834SB</t>
  </si>
  <si>
    <t>Other info</t>
  </si>
  <si>
    <t>Local connection</t>
  </si>
  <si>
    <t>BCQC7408</t>
  </si>
  <si>
    <t>BCQD0765</t>
  </si>
  <si>
    <t>BCQD0767</t>
  </si>
  <si>
    <t>200 Mb Eth</t>
  </si>
  <si>
    <t>14:1</t>
  </si>
  <si>
    <t>6:1</t>
  </si>
  <si>
    <t>10:1</t>
  </si>
  <si>
    <t>MIAM.BEIN</t>
  </si>
  <si>
    <t>Hibernia</t>
  </si>
  <si>
    <t>ABG17</t>
  </si>
  <si>
    <t>Sao Paulo</t>
  </si>
  <si>
    <t>SAPL.EQNX</t>
  </si>
  <si>
    <t>13:1</t>
  </si>
  <si>
    <t>Coresite cross-connect 71269</t>
  </si>
  <si>
    <t>N/A in D2F due to errors // Rack T26/Ports 1/2 &gt; Fiber patch 21/22</t>
  </si>
  <si>
    <t>Rack T24 ports 11/12 &gt; Fiber patch 23/24</t>
  </si>
  <si>
    <t>DC demarc RackT23 RR300.17 p15/16&gt;Tech core Tie 9/10</t>
  </si>
  <si>
    <t>Rack T24 ports 7/8 &gt; Fiber patch 7/8 &gt; WSHT3  &gt; WCSN Node Demarc: 1.1.RR15.51</t>
  </si>
  <si>
    <t>Rack T24 /L3 shelf 003.0300.001.007.17/Ports 21/22 &gt; WSHT1 14:1 &gt;LA-C83,84 MMR1 RR1.1.1.2 103/104</t>
  </si>
  <si>
    <t>demarc:NYCMNYZRNYOOSX riser panel at 18.1805.00.03.07.07/.08
tied to 15th floor at 15.1505.1501.01.10.07/.08. hard loop &gt;":BRSWVAADCOLFDPD.03. RMU 31(SHELF 18).PORTS 9/10 hard loop</t>
  </si>
  <si>
    <t>EAI NY Rack LT-21; shelf 2 MRV nycmnyjum42 &gt; 60 Hudson EBU Cab 1504.06 Panel 1 port 1/2</t>
  </si>
  <si>
    <t>WSHT2 2:1 &gt; Patch tie 7/8 Rack T31 &gt; Rack T22 &gt; L3 shelf RR 003.0300..001.007.17 p19/20</t>
  </si>
  <si>
    <t>100 Mb Eth</t>
  </si>
  <si>
    <t>500 Mb Eth</t>
  </si>
  <si>
    <t>London - Telehouse North</t>
  </si>
  <si>
    <t>LNDN.THN</t>
  </si>
  <si>
    <t>NWYK.SW</t>
  </si>
  <si>
    <t>38015 / S38448LI</t>
  </si>
  <si>
    <t>LocZ: Rack 1504.06 / Shelf 1 / Port 11 &amp; 12</t>
  </si>
  <si>
    <t>BCTG6573</t>
  </si>
  <si>
    <t>FRO2005435569</t>
  </si>
  <si>
    <t>FRO2005348122</t>
  </si>
  <si>
    <t>Disconnected 15-July</t>
  </si>
  <si>
    <t>Service Order: SOF25416 // Contract through 30-May-2015</t>
  </si>
  <si>
    <t>RCN/Sidera Trouble # 888-750-0712</t>
  </si>
  <si>
    <t>Lightower Networks # 888-583-4237</t>
  </si>
  <si>
    <t xml:space="preserve">KDDI Trouble </t>
  </si>
  <si>
    <t xml:space="preserve">Level 3 Trouble # 877-946-4777 or 1-877-453-8553 </t>
  </si>
  <si>
    <t>AT&amp;T Trouble # 800-344-5100</t>
  </si>
  <si>
    <t>Global Crossing Trouble# 866-456-2259</t>
  </si>
  <si>
    <t>STS Trouble</t>
  </si>
  <si>
    <t>The SWITCH Trouble # 212-227-9191</t>
  </si>
  <si>
    <t>Verizon Business # 800-444-1111</t>
  </si>
  <si>
    <t>TW  Rack WASH1116 TW 506, Device WASHDC116F7001, Shelf 4DTPR pt2&gt;DCI patch???????&gt;WSHT1 9:1</t>
  </si>
  <si>
    <t xml:space="preserve">102L/OT06/ASBNVACYN19/WASH1116S02; </t>
  </si>
  <si>
    <t>TW Telecom/DCI</t>
  </si>
  <si>
    <t>STM-64\10 GIG</t>
  </si>
  <si>
    <t>WSHT1 9:1</t>
  </si>
  <si>
    <t>GNVA&gt;Frankfurt</t>
  </si>
  <si>
    <t xml:space="preserve">4th fl, C7.RR1.02.block 6, ports 4 &amp; 10 &gt; NAPMIA.2BZ084.106.97.02 Positions 43/44. </t>
  </si>
  <si>
    <t>GIG-E</t>
  </si>
  <si>
    <t>Miami Port</t>
  </si>
  <si>
    <t>LGLS Port ??? Cancelled 3/18/2014</t>
  </si>
  <si>
    <t>S090310100</t>
  </si>
  <si>
    <t>STM-1/OC-3</t>
  </si>
  <si>
    <t>TKYO Port 3:1</t>
  </si>
  <si>
    <t>LGLS Port 3:1</t>
  </si>
  <si>
    <t>STS</t>
  </si>
  <si>
    <t>SYDN Port 3:1</t>
  </si>
  <si>
    <t>LGLS Port 3:2</t>
  </si>
  <si>
    <t>LGLS_KDDI Port 1:1</t>
  </si>
  <si>
    <t>LGLS Port 3:3</t>
  </si>
  <si>
    <t>LGLS_KDDI Port 1:2</t>
  </si>
  <si>
    <t>LGLS Port 3:4</t>
  </si>
  <si>
    <t>10 GIG\STM-64</t>
  </si>
  <si>
    <t>WSHT2 3:1</t>
  </si>
  <si>
    <t>London\Telecity</t>
  </si>
  <si>
    <t>15.1505.1501.01.10.09/.10 &gt; Cage 17.RR2.01.block 2 Port 71/72</t>
  </si>
  <si>
    <t>Level 3</t>
  </si>
  <si>
    <t>NWYK &gt; LA</t>
  </si>
  <si>
    <t>NWYK ????</t>
  </si>
  <si>
    <t>NWYK-POP 4:1&gt;DC demarc RackT23 RR300.17 p15/16&gt;Tech core Tie 9/10&gt;WSHT3</t>
  </si>
  <si>
    <t>Level3/Lightower Networks</t>
  </si>
  <si>
    <t>10 GIG</t>
  </si>
  <si>
    <t>WSHT3 1:1</t>
  </si>
  <si>
    <t>NWYK POP 4:1 60 Hudson</t>
  </si>
  <si>
    <t>35585/S13032LI-ET-NYCMNYJU-NYCMNYZR</t>
  </si>
  <si>
    <t>GIG-E/1G</t>
  </si>
  <si>
    <t>EAI NWYK  Port 9:2 &gt; 60 Hudson Node</t>
  </si>
  <si>
    <t>NWYK POP Port 1:2</t>
  </si>
  <si>
    <t>GIG-E 500mbit</t>
  </si>
  <si>
    <t>TKYO.EQNX 1:1</t>
  </si>
  <si>
    <t>NWYK POP Port 1:3</t>
  </si>
  <si>
    <t>Order #S16285LI Circuit ID#36610-ET-NYCMNYAA-NYCMNYZR</t>
  </si>
  <si>
    <t>100mbit Eth</t>
  </si>
  <si>
    <t>NWYK.BRTVG 2:1</t>
  </si>
  <si>
    <t>NWYK POP Port 1:4</t>
  </si>
  <si>
    <t>200mbit Gig-E</t>
  </si>
  <si>
    <t>NWYK POP Port 1:6</t>
  </si>
  <si>
    <t>10Gig</t>
  </si>
  <si>
    <t>GNVE3 Port 8:1</t>
  </si>
  <si>
    <t>NWYK POP Port 2:1</t>
  </si>
  <si>
    <t>1Gig</t>
  </si>
  <si>
    <t>MNSS Port 5:1</t>
  </si>
  <si>
    <t>NWYK POP Port 3:3</t>
  </si>
  <si>
    <t>BBY9199</t>
  </si>
  <si>
    <t>LGLS.BW Port 8:1</t>
  </si>
  <si>
    <t>NWYK POP Port 3:4 xlld 3/18/2014</t>
  </si>
  <si>
    <t>EURO13-45464-ELE</t>
  </si>
  <si>
    <t>250mbit/Gig-E</t>
  </si>
  <si>
    <t>ROJA.EQNX Port 1:1</t>
  </si>
  <si>
    <t>NWYK POP Port 3:5</t>
  </si>
  <si>
    <t xml:space="preserve">Level3 </t>
  </si>
  <si>
    <t>PVBE.PGA2 Port 1:1</t>
  </si>
  <si>
    <t>NWYK POP Port 3:6</t>
  </si>
  <si>
    <t>Srvc ID# BCQD0765</t>
  </si>
  <si>
    <t>10 GIG-E \ STM-64</t>
  </si>
  <si>
    <t>LGLS POP Port 9:1</t>
  </si>
  <si>
    <t>NWYK POP Port 6:1</t>
  </si>
  <si>
    <t>SAFD.NBC2 Port 1:1</t>
  </si>
  <si>
    <t>NWYK POP Port 8:1</t>
  </si>
  <si>
    <t>FRO2004136157PS1</t>
  </si>
  <si>
    <t>L3/ formally Global Crossing</t>
  </si>
  <si>
    <t>ROJA POP 2:1</t>
  </si>
  <si>
    <t>NWYK SW Port 5:1</t>
  </si>
  <si>
    <t>NWYK TVR Port 1:1</t>
  </si>
  <si>
    <t>NWYK SW Port 6:2</t>
  </si>
  <si>
    <t>FRO2003656972PL3</t>
  </si>
  <si>
    <t>Global Crossing</t>
  </si>
  <si>
    <t>NWYK TVG 1:1</t>
  </si>
  <si>
    <t>NWYK SW Port 8:1</t>
  </si>
  <si>
    <t>PCCW: HKG(RCH)-NYK(RCH) AP36016</t>
  </si>
  <si>
    <t>Verizon</t>
  </si>
  <si>
    <t>HGKG Port 5:3</t>
  </si>
  <si>
    <t>NWYK1 Port 1:2</t>
  </si>
  <si>
    <t>LON/USA/E6P060202</t>
  </si>
  <si>
    <t>Colt</t>
  </si>
  <si>
    <t>STM-4/OC-12</t>
  </si>
  <si>
    <t>LNDN TLCTY Port 2:1</t>
  </si>
  <si>
    <t>NWYK1 Port 3:1</t>
  </si>
  <si>
    <t>N/A (NODE to NODE)</t>
  </si>
  <si>
    <t>NWYK2 Port 5:1</t>
  </si>
  <si>
    <t>NWYK1 Port 4:2</t>
  </si>
  <si>
    <t>NWYK2 Port 5:2</t>
  </si>
  <si>
    <t>NWYK1 Port 4:3</t>
  </si>
  <si>
    <t>32.OBGS.154303</t>
  </si>
  <si>
    <t>NWYK_WDR Port 1:1</t>
  </si>
  <si>
    <t>NWYK1 Port 5:2</t>
  </si>
  <si>
    <t>BBGG2504 (BBW91955, 94254, 98993)</t>
  </si>
  <si>
    <t>MNSS Port 3:2</t>
  </si>
  <si>
    <t>NWYK1 Port 5:4</t>
  </si>
  <si>
    <t>36058/S14503LI</t>
  </si>
  <si>
    <t>GIGE/1G</t>
  </si>
  <si>
    <t>NWYK NBA1 1:3</t>
  </si>
  <si>
    <t>NWYK1 Port 9:3</t>
  </si>
  <si>
    <t>BBHK9387 (BBFC30450, 30451, 30452)</t>
  </si>
  <si>
    <t>LGLS Port 5:1</t>
  </si>
  <si>
    <t>NWYK2 Port 3:1</t>
  </si>
  <si>
    <t>BBHK9389 (BBFC30459, 30460, 30461)</t>
  </si>
  <si>
    <t>LGLS Port 6:2</t>
  </si>
  <si>
    <t>WOW10190</t>
  </si>
  <si>
    <t>NWYK_NHL 1:1</t>
  </si>
  <si>
    <t>NYWK1 Port 1:1</t>
  </si>
  <si>
    <t>RCN/Sidera</t>
  </si>
  <si>
    <t>NWYK SW Port 3:1</t>
  </si>
  <si>
    <t>NYWK1 Port 5:1</t>
  </si>
  <si>
    <t>FRO2004136126PL3</t>
  </si>
  <si>
    <t>SAPL TVR</t>
  </si>
  <si>
    <t>ROJA POP Port 3:1</t>
  </si>
  <si>
    <t>FRO2004136160PS1</t>
  </si>
  <si>
    <t>ROJA TVG Port 1:1</t>
  </si>
  <si>
    <t>ROJA POP Port 4:1</t>
  </si>
  <si>
    <t>Srvc ID# BCQD0767</t>
  </si>
  <si>
    <t>LGLS Pop 11:1</t>
  </si>
  <si>
    <t>WSHT1  Port 14:1</t>
  </si>
  <si>
    <t>FFTM.ANCO Port 15:1</t>
  </si>
  <si>
    <t>WSHT1 Port 11:1</t>
  </si>
  <si>
    <t xml:space="preserve">N/A (NODE to NODE) </t>
  </si>
  <si>
    <t>WSHT2 Port2 1:1</t>
  </si>
  <si>
    <t>WSHT1 Port 12:1</t>
  </si>
  <si>
    <t>WSHT3 Port 11:1</t>
  </si>
  <si>
    <t>WSHT1 Port 13:1</t>
  </si>
  <si>
    <t>SES Newskies ordered and maintained</t>
  </si>
  <si>
    <t>Lightower</t>
  </si>
  <si>
    <t>MNSS Port 3:1</t>
  </si>
  <si>
    <t>WSHT1 Port 16:1</t>
  </si>
  <si>
    <t>WSHT1 3:1--&gt;Patch Panel 21/22--&gt;WSHT3 3:2</t>
  </si>
  <si>
    <t>WSHT3 Port 3:2</t>
  </si>
  <si>
    <t>WSHT1 Port 3:1</t>
  </si>
  <si>
    <t>WSHT1 7:1--&gt;Rack T24(L3) Ports 3/4--&gt;LGLS 5:2</t>
  </si>
  <si>
    <t>BBHK9394 (BBFC30473, 30474, 30475)</t>
  </si>
  <si>
    <t>LGLS Port 5:2</t>
  </si>
  <si>
    <t>WSHT1 Port 7:1</t>
  </si>
  <si>
    <t>WSHT1 7:2-DCI RX8/9--&gt; Paris Port 1:1</t>
  </si>
  <si>
    <t>Colt/Level3</t>
  </si>
  <si>
    <t>PARIS.TH1 Port 1:1</t>
  </si>
  <si>
    <t>WSHT1 Port 7:2</t>
  </si>
  <si>
    <t>Rack T24 ports 7/8 &gt; Fiber patch 7/8 &gt; WSHT3 9:5 &gt; WCSN Node Demarc: 1.1.RR15.51</t>
  </si>
  <si>
    <t>GIG-E 150mbit</t>
  </si>
  <si>
    <t>DENV.WCSN 1:1</t>
  </si>
  <si>
    <t>WSHT3 Port  9:5</t>
  </si>
  <si>
    <t>WSHT3 1:1--&gt;Patch Panel 13/14--&gt;Rack T25 (Verizon) Port 5--&gt;PVBE.PGA 1:1</t>
  </si>
  <si>
    <t>AGEC 695570</t>
  </si>
  <si>
    <t>PVBE.PGA Port 1:1</t>
  </si>
  <si>
    <t>WSHT3 Port 1:1 replaced with GIG_-E</t>
  </si>
  <si>
    <t>WSHT2 Port2 5:1</t>
  </si>
  <si>
    <t>WSHT3 Port 12:1</t>
  </si>
  <si>
    <t>WSHT3 3:1--&gt;Patch Panel 9/10--&gt;Rack T24(L3) Ports 5/6--&gt;NYWK1 4:1</t>
  </si>
  <si>
    <t>BBHK9390 (BBFC30462, 30463, 30464)</t>
  </si>
  <si>
    <t>NWYK1 Port 4:1</t>
  </si>
  <si>
    <t>WSHT3 Port 3:1</t>
  </si>
  <si>
    <t>WSHT3 5:1--&gt;Patch Panel 5/6--&gt;Rack T24(L3) Ports 9/10--&gt;GNVA COS 2:1</t>
  </si>
  <si>
    <t>GVA/IAD E6P060605</t>
  </si>
  <si>
    <t>GNVA3 COS Port 2:1</t>
  </si>
  <si>
    <t>WSHT3 Port 5:1</t>
  </si>
  <si>
    <t>WSHT 5:2--&gt;Patch Panel 1/2--&gt;Rack T24(L3) Ports 1/2--&gt;LGLS 6:1</t>
  </si>
  <si>
    <t>BBHK9393 (BBFC30473, 30474, 30475)</t>
  </si>
  <si>
    <t>LGLS Port 6:1</t>
  </si>
  <si>
    <t>WSHT3 Port 5:2</t>
  </si>
  <si>
    <t>WSHT3 5:3--&gt;Patch Panel 11/12 --&gt;Rack T24(L3) Ports 11/12--&gt;NWYK 3:2</t>
  </si>
  <si>
    <t>BBHK9392 (BBFC30470, 30471, 30472)</t>
  </si>
  <si>
    <t>NWYK1 Port 3:2</t>
  </si>
  <si>
    <t>WSHT3 Port 5:3</t>
  </si>
  <si>
    <t>WSHT3 7:1--&gt;Patch Panel 19/20--&gt;Rack T24(RCN)Ports 31/32--&gt;MNSS 7:1</t>
  </si>
  <si>
    <t>N/A</t>
  </si>
  <si>
    <t>RCN/Sidera (SES Maintains this Fiber)</t>
  </si>
  <si>
    <t>MNSS Port 7:1</t>
  </si>
  <si>
    <t>WSHT3 Port 7:1 replaced w/GigE</t>
  </si>
  <si>
    <t>WSHT3 7:2--&gt;Patch Panel 23/24--&gt;Rack T25(Verizon)Port 3--&gt;WSHT_WDR 1:1 (patches removed 11-2011)</t>
  </si>
  <si>
    <t xml:space="preserve">WOR47371 </t>
  </si>
  <si>
    <t>STM-1/OC-3 (Inactive 11-2011)</t>
  </si>
  <si>
    <t>WSHT_WDR Port 1:1 (Node removed 11-2011</t>
  </si>
  <si>
    <t>WSHT3 Port 7:2 Inactive 11-2011</t>
  </si>
  <si>
    <t>WSHT3 7:3--&gt;L3 Shelf R.R.01.07 SH17 Port 17/18 &gt;Patch Panel 7/8--&gt;Rack T24(L3)Ports 17/18--&gt;CHRT_SPEED 1:1</t>
  </si>
  <si>
    <t>BBNQ9673 (BBDK00254, 0255, 00256)</t>
  </si>
  <si>
    <t>CHRT.SPEED 1:1</t>
  </si>
  <si>
    <t>WSHT3 Port 7:3</t>
  </si>
  <si>
    <t>Rack T26/Ports 1/2 &gt; Fiber patch 21/22 &gt; WSHT3 9:1 &gt; PGA2 1:2</t>
  </si>
  <si>
    <t>PVBE.PGA2 Port 1:2</t>
  </si>
  <si>
    <t xml:space="preserve">WSHT3 Port 9:1   </t>
  </si>
  <si>
    <t>Rack T24 Ports 1/2 &gt; Fiber patch 15/16 &gt; WSHT3 9:1 &gt; NWYK 9:1</t>
  </si>
  <si>
    <t>BBPP2496</t>
  </si>
  <si>
    <t>WSHT &gt; NWYK Port</t>
  </si>
  <si>
    <t>WSHT3 Port 9:1  removed 7/1/2013</t>
  </si>
  <si>
    <t>DCI/Hibernia shelf/Nimbra 360 port 4:1/DCI fiber tie 83-84/EAI fiber patch 3-4/WSHT3 9:2</t>
  </si>
  <si>
    <t>Hibernia via DCI</t>
  </si>
  <si>
    <t>GIG-E/100mbit</t>
  </si>
  <si>
    <t>Miami.Bein Port 3:1</t>
  </si>
  <si>
    <t xml:space="preserve">WSHT3 Port 9:2 </t>
  </si>
  <si>
    <t>Rack T24 rk7 sh17 Ports 5/6 &gt; Fiber Patch 1/2 Rack T22 NAPMIA.2BZ084.106.97.02. POS 41/42</t>
  </si>
  <si>
    <t>Miami Pop 1:1</t>
  </si>
  <si>
    <t>WSHT3 Port 9:2 cancelled 3/18/2014</t>
  </si>
  <si>
    <t xml:space="preserve">Rack T24 Ports 11/12 &gt; Fiber patch 23/24 &gt; WSHT3 9:3 &gt; USNBC </t>
  </si>
  <si>
    <t>.</t>
  </si>
  <si>
    <t>SAFD.USNBC 2:1</t>
  </si>
  <si>
    <t>WSHT3 Port 9:3</t>
  </si>
  <si>
    <t>Rack T24 Ports 11/12 &gt; Fiber patch 23/24 &gt; WSHT3 9:3 &gt; LA Node#2 ???</t>
  </si>
  <si>
    <t>BBSM2802 XLLD 2/13</t>
  </si>
  <si>
    <t>WSHT &gt;LA  Port</t>
  </si>
  <si>
    <t>WSHT3 Port 9:3  removed 3/7/13</t>
  </si>
  <si>
    <t>LGIGE-20391-0001 (MAINTAINED BY NBA)</t>
  </si>
  <si>
    <t>1 GIG</t>
  </si>
  <si>
    <t>NWYK.NBA2 Port 1.1</t>
  </si>
  <si>
    <t>WSHT3 Port 9:4</t>
  </si>
  <si>
    <t>Point-to-Point Path</t>
  </si>
  <si>
    <t>13.TRGS.700642..PT</t>
  </si>
  <si>
    <t>The SWITCH &amp; AT&amp;T</t>
  </si>
  <si>
    <t>LA POP to FOX Sports</t>
  </si>
  <si>
    <t>LA Switch to PAC TV</t>
  </si>
  <si>
    <t>13TDGS575550PT</t>
  </si>
  <si>
    <t>Tennis Channel</t>
  </si>
  <si>
    <t>13TDGS575548PT</t>
  </si>
  <si>
    <t>LA Switch #2</t>
  </si>
  <si>
    <t>LA Switch #1</t>
  </si>
  <si>
    <t>13TDGS575506PT</t>
  </si>
  <si>
    <t>WCSN/Universal</t>
  </si>
  <si>
    <t>11TVRS956058-001PT</t>
  </si>
  <si>
    <t>Fox Sports LA</t>
  </si>
  <si>
    <t>LA Local Loops</t>
  </si>
  <si>
    <t>36TDGA100135</t>
  </si>
  <si>
    <t>Verizon/Billed to EBU by Vyvx</t>
  </si>
  <si>
    <t>VYVX-RX2</t>
  </si>
  <si>
    <t>36TDGA100134</t>
  </si>
  <si>
    <t>Verizon /Paid by Vyvx</t>
  </si>
  <si>
    <t>VYVX-RX1</t>
  </si>
  <si>
    <t>36TBGS101219DC or 101207DC</t>
  </si>
  <si>
    <t>Verizon/Debeers</t>
  </si>
  <si>
    <t>State Dept HD</t>
  </si>
  <si>
    <t>AP -RX3</t>
  </si>
  <si>
    <t>AP -RX2</t>
  </si>
  <si>
    <t>AP -RX1</t>
  </si>
  <si>
    <t>36TBGS100812  1470RX</t>
  </si>
  <si>
    <t>Verizon via Debeers RackT26</t>
  </si>
  <si>
    <t>DEARD RX</t>
  </si>
  <si>
    <t>36TBGS100813  1490TX</t>
  </si>
  <si>
    <t>DEARD TX</t>
  </si>
  <si>
    <t>TBGS 101012</t>
  </si>
  <si>
    <t>HD AVOC TX-2</t>
  </si>
  <si>
    <t>TBGS 100534</t>
  </si>
  <si>
    <t>HD AVOC TX-1</t>
  </si>
  <si>
    <t>TBGS 100535</t>
  </si>
  <si>
    <t>AVOC RX</t>
  </si>
  <si>
    <t>TVGM 54818</t>
  </si>
  <si>
    <t>State Dept Analog</t>
  </si>
  <si>
    <t>36TBGS 101131</t>
  </si>
  <si>
    <t>Mobile Video #2 AUX2 HD/SD</t>
  </si>
  <si>
    <t>36TBGS 101130</t>
  </si>
  <si>
    <t>Mobile Video #1 AUX1 HD/SD</t>
  </si>
  <si>
    <t>TBGS100089</t>
  </si>
  <si>
    <t>Mobile Video WH CAM</t>
  </si>
  <si>
    <t>TDGA 100437  disconnected 4-13-12</t>
  </si>
  <si>
    <t>Mobile Video #2 AUX2</t>
  </si>
  <si>
    <t>TDGA 100436  disconnected 4-13-12</t>
  </si>
  <si>
    <t>Mobile Video #1 AUX1</t>
  </si>
  <si>
    <t>Washington Local Loops</t>
  </si>
  <si>
    <t>1:5</t>
  </si>
  <si>
    <t>12LCRM50</t>
  </si>
  <si>
    <t>ZZFMEA2</t>
  </si>
  <si>
    <t>US Open - Flushing Meadows</t>
  </si>
  <si>
    <t>32TBGS115852</t>
  </si>
  <si>
    <t>ZZFMEA1</t>
  </si>
  <si>
    <t>Los Angeles - DirecTV</t>
  </si>
  <si>
    <t>ABC25</t>
  </si>
  <si>
    <t>Hibernia TX2 for UEFA to DirecTV</t>
  </si>
  <si>
    <t>NY Local loops</t>
  </si>
  <si>
    <t>Encompass RSC</t>
  </si>
  <si>
    <t>32TBGS115912</t>
  </si>
  <si>
    <t>Disconnected</t>
  </si>
  <si>
    <t>BCWF5276</t>
  </si>
  <si>
    <t>300 Mb Eth</t>
  </si>
  <si>
    <t>PVBE.PGA</t>
  </si>
  <si>
    <t>Protected</t>
  </si>
  <si>
    <t>US Open - disconnected</t>
  </si>
  <si>
    <t>Disconnected 1-July 14</t>
  </si>
  <si>
    <t>Vail</t>
  </si>
  <si>
    <t>Washington</t>
  </si>
  <si>
    <t>BCWG5060</t>
  </si>
  <si>
    <t>C-Link service N81433420 (Avon to Denver)</t>
  </si>
  <si>
    <t>C-Link service N83644724 (Vail to Denver)</t>
  </si>
  <si>
    <t>BCWG5061</t>
  </si>
  <si>
    <t>Domestic</t>
  </si>
  <si>
    <t>Region</t>
  </si>
  <si>
    <t>Z Location</t>
  </si>
  <si>
    <t>A Node</t>
  </si>
  <si>
    <t>A Location</t>
  </si>
  <si>
    <t>Z Node</t>
  </si>
  <si>
    <t>Bandwidth</t>
  </si>
  <si>
    <t>Order notes</t>
  </si>
  <si>
    <t>EAI</t>
  </si>
  <si>
    <t>New York - 60 Hudson PoP</t>
  </si>
  <si>
    <t>Trunk</t>
  </si>
  <si>
    <t>Order, paid for and maintained by the NBA</t>
  </si>
  <si>
    <t>Europe</t>
  </si>
  <si>
    <t>BEIN Sports</t>
  </si>
  <si>
    <t>Ancotel</t>
  </si>
  <si>
    <t>Paid for and maintained by SES (NOC: +1 703 330 3305)</t>
  </si>
  <si>
    <t>Asia</t>
  </si>
  <si>
    <t>Equinix</t>
  </si>
  <si>
    <t>TV Globo</t>
  </si>
  <si>
    <t>TV Record</t>
  </si>
  <si>
    <t>PacTV</t>
  </si>
  <si>
    <t>Fox Sports International (USFSI)</t>
  </si>
  <si>
    <t>7:1</t>
  </si>
  <si>
    <t>ZZVAIL.IBC1</t>
  </si>
  <si>
    <t>ZZVAIL.TOC</t>
  </si>
  <si>
    <t>Updated</t>
  </si>
  <si>
    <t>BCWX1487</t>
  </si>
  <si>
    <t>Source = WDCDCI-N360-01-A1:2i (Hibernia Alias Name Eurovision TX 2) // Destination = LAXDTV 7:6</t>
  </si>
  <si>
    <t>Source = Miami-N320-01-E3:1 // Destination = WDCRTE-3920-01</t>
  </si>
  <si>
    <t>8:2</t>
  </si>
  <si>
    <t>Cancelled by Mark 2/24/15</t>
  </si>
  <si>
    <t>Temporary for FIS World Cup 2015 - cancelled by Jay 2/23/215</t>
  </si>
  <si>
    <t>LAX-TOK EP3195</t>
  </si>
  <si>
    <t>Termination on 03/16/2015</t>
  </si>
  <si>
    <t>16:2</t>
  </si>
  <si>
    <t>F1 2015. Lightower cross-connect on 5:1</t>
  </si>
  <si>
    <t>LGLS.POP</t>
  </si>
  <si>
    <t>F1 2015. PCCW cross-connect on 6:1</t>
  </si>
  <si>
    <t>8:3</t>
  </si>
  <si>
    <t>ZZMGP.Australia</t>
  </si>
  <si>
    <t>Moto GP Australia</t>
  </si>
  <si>
    <t>Moto GP 2015</t>
  </si>
  <si>
    <t>5:4</t>
  </si>
  <si>
    <t>ZZMGP.INDN</t>
  </si>
  <si>
    <t>Moto GP India</t>
  </si>
  <si>
    <t>4:4</t>
  </si>
  <si>
    <t>F1 2015</t>
  </si>
  <si>
    <t>ZZOPS7.BJNG.IAAF</t>
  </si>
  <si>
    <t>IAAF Beijing</t>
  </si>
  <si>
    <t>SR104714</t>
  </si>
  <si>
    <t>ZZF1.Brazil</t>
  </si>
  <si>
    <t>F1 Brazil</t>
  </si>
  <si>
    <t>Temp</t>
  </si>
  <si>
    <t>ZZF1</t>
  </si>
  <si>
    <t>F1</t>
  </si>
  <si>
    <t>F1 Mexico and Singapore</t>
  </si>
  <si>
    <t>F1 Japan and USA</t>
  </si>
  <si>
    <t>ABC23</t>
  </si>
  <si>
    <t>Hibernia TX1 for NBA to DirecTV</t>
  </si>
  <si>
    <t>13TRGE701592PT</t>
  </si>
  <si>
    <t>4:5</t>
  </si>
  <si>
    <t>2:2</t>
  </si>
  <si>
    <t>16:4</t>
  </si>
  <si>
    <t>WSHT.USMV</t>
  </si>
  <si>
    <t>Cancellation notice sent 10/17</t>
  </si>
  <si>
    <t>Termination on 13-Nov 15</t>
  </si>
  <si>
    <t>New York - Equinix (Secaucus)</t>
  </si>
  <si>
    <t>Washington - EAI</t>
  </si>
  <si>
    <t>Los Angeles - 1 Wilshire</t>
  </si>
  <si>
    <t>BBTF7276</t>
  </si>
  <si>
    <t>New York phones data line</t>
  </si>
  <si>
    <t>New York phones VPN Tunnel</t>
  </si>
  <si>
    <t>BDBC4469</t>
  </si>
  <si>
    <t>BDBC9699</t>
  </si>
  <si>
    <t>BDBH7944</t>
  </si>
  <si>
    <t>BDBH7945</t>
  </si>
  <si>
    <t>SN - 150930:01 // DS - 110321</t>
  </si>
  <si>
    <t>Disconnected early January 2016</t>
  </si>
  <si>
    <t>SES (Fiberlight fiber)</t>
  </si>
  <si>
    <t>A Address</t>
  </si>
  <si>
    <t>2000 M Street NW</t>
  </si>
  <si>
    <t>Z Address</t>
  </si>
  <si>
    <t>275 Hartz Way</t>
  </si>
  <si>
    <t>NWYK.EQNX2</t>
  </si>
  <si>
    <t>111 8th Ave</t>
  </si>
  <si>
    <t>New York - Equinix</t>
  </si>
  <si>
    <t>NWYK.EQNX9</t>
  </si>
  <si>
    <t>624 S Grand Ave</t>
  </si>
  <si>
    <t>60 Hudson St</t>
  </si>
  <si>
    <t>NBA (Zayo fiber)</t>
  </si>
  <si>
    <t>21 World Golf Pl</t>
  </si>
  <si>
    <t>3440 Motor Ave</t>
  </si>
  <si>
    <t>900 Sylvan Ave</t>
  </si>
  <si>
    <t>Englewood Cliffs, NJ</t>
  </si>
  <si>
    <t>1 Blachley Rd</t>
  </si>
  <si>
    <t>Stamford, CT</t>
  </si>
  <si>
    <t>Disconnect April 2016</t>
  </si>
  <si>
    <t>4100 E Dry Creek Rd</t>
  </si>
  <si>
    <t>8000 Gainsford Ct</t>
  </si>
  <si>
    <t>Bristow, VA</t>
  </si>
  <si>
    <t>1620 I Street NW</t>
  </si>
  <si>
    <t>Rio de Janeiro - Equinix</t>
  </si>
  <si>
    <t>524 West 57th St</t>
  </si>
  <si>
    <t>New York - Eurovision</t>
  </si>
  <si>
    <t>Coresite cross-connect order #98173 Single mode cross connect 1010 TK9 LC TX: 4th FL MMR Cage 83 01.04.07 39RX: 4th FL MMR Cage 83 01.04.07 40</t>
  </si>
  <si>
    <t>Disconnect April 29 2016</t>
  </si>
  <si>
    <t>Move April 29 2016</t>
  </si>
  <si>
    <t>85 10th Ave</t>
  </si>
  <si>
    <t>New York - Level3 PoP</t>
  </si>
  <si>
    <t>ZZSOG.NWYK</t>
  </si>
  <si>
    <t>F1 Canada</t>
  </si>
  <si>
    <t>ZZF116_CANADA</t>
  </si>
  <si>
    <t>F1 2016. Lightower cross-connect on 1:6</t>
  </si>
  <si>
    <t>ZZF116_SINGAPORE</t>
  </si>
  <si>
    <t>F1 Singapore</t>
  </si>
  <si>
    <t>F1 USA</t>
  </si>
  <si>
    <t>ZZF116_USA</t>
  </si>
  <si>
    <t>F1 Mexico</t>
  </si>
  <si>
    <t>ZZF116_MEXICO</t>
  </si>
  <si>
    <t>ZZF116_BRAZIL</t>
  </si>
  <si>
    <t>MGP Suzuka</t>
  </si>
  <si>
    <t>ZZMPG.SUZUKA.16</t>
  </si>
  <si>
    <t>MGP 2016</t>
  </si>
  <si>
    <t>MGP Australia</t>
  </si>
  <si>
    <t>ZZMPG.AUSTRALIA.16</t>
  </si>
  <si>
    <t>F1 Indonesia</t>
  </si>
  <si>
    <t>ZZF116_SEPANG</t>
  </si>
  <si>
    <t>F1 Japan</t>
  </si>
  <si>
    <t>ZZF116_JAPAN</t>
  </si>
  <si>
    <t>Olympics fiber - 1 year term. Disconnect on 27-May</t>
  </si>
  <si>
    <t>BDFS1434</t>
  </si>
  <si>
    <t>Order 1-LEMFZI</t>
  </si>
  <si>
    <t>Upgrade to 10 Gb</t>
  </si>
  <si>
    <t>TBD</t>
  </si>
  <si>
    <t>Disconnect 31-July</t>
  </si>
  <si>
    <t>BDBH7943</t>
  </si>
  <si>
    <t>BDFZ6774</t>
  </si>
  <si>
    <t>400 N Capitol St</t>
  </si>
  <si>
    <t>Washington - NBC</t>
  </si>
  <si>
    <t>WSHT.NBC.ZDF</t>
  </si>
  <si>
    <t>BDFZ6775</t>
  </si>
  <si>
    <t>RCN</t>
  </si>
  <si>
    <t>116446AB</t>
  </si>
  <si>
    <t>16:3</t>
  </si>
  <si>
    <t>800 Mb</t>
  </si>
  <si>
    <t>Temporary for Elections (ZDF)</t>
  </si>
  <si>
    <t>Dark fiber</t>
  </si>
  <si>
    <t>Secaucus - NBA</t>
  </si>
  <si>
    <t>LNDN.TLCTY</t>
  </si>
  <si>
    <t>100 Plaza Drive</t>
  </si>
  <si>
    <t>NWYK.BRTVG</t>
  </si>
  <si>
    <t>Ending 12/31/2016</t>
  </si>
  <si>
    <t>100 Mb</t>
  </si>
  <si>
    <t>EQNX9 Demarc 1st Floor / Cage 6912, Rack 0101, Shelf PNL-14/CP-137386 port 5-6 (Equinix Panel ID CP:0106-1014096) // NBA Rack 02.A11, Shelf SCCSNJ1PN21, Slot 1 port 3</t>
  </si>
  <si>
    <t>BDHR1860</t>
  </si>
  <si>
    <t>BDHR1360</t>
  </si>
  <si>
    <t>32 Ave of the Americas</t>
  </si>
  <si>
    <t>400 Mb Eth</t>
  </si>
  <si>
    <t>Centennial, CO - WCSN</t>
  </si>
  <si>
    <t>5:2</t>
  </si>
  <si>
    <t>HGKG.MEGA</t>
  </si>
  <si>
    <t>St. Augustine, FL - PGA</t>
  </si>
  <si>
    <t>Disconnect by 1/27/17</t>
  </si>
  <si>
    <t>16:5</t>
  </si>
  <si>
    <t>524 W 57th St</t>
  </si>
  <si>
    <t>633 3rd Ave</t>
  </si>
  <si>
    <t>Local circuit</t>
  </si>
  <si>
    <t>HD-SDI</t>
  </si>
  <si>
    <t>Notes</t>
  </si>
  <si>
    <t>00431549</t>
  </si>
  <si>
    <t>00431578</t>
  </si>
  <si>
    <t>Cross-Connects</t>
  </si>
  <si>
    <t>WSHT4</t>
  </si>
  <si>
    <t>165 Halsey Street</t>
  </si>
  <si>
    <t>16:6</t>
  </si>
  <si>
    <t>Level 3 Room Colo: Floor: 9 MMR</t>
  </si>
  <si>
    <t>ROJA.BRTVG</t>
  </si>
  <si>
    <t>Rio de Janeiro - TV Globo</t>
  </si>
  <si>
    <t>Rio de Janeiro - Globosat</t>
  </si>
  <si>
    <t>ROJA.GSAT</t>
  </si>
  <si>
    <t>Y</t>
  </si>
  <si>
    <t>FRO2006294667/8/9</t>
  </si>
  <si>
    <t>500 Mbps</t>
  </si>
  <si>
    <t>FRO2006294664/5/6</t>
  </si>
  <si>
    <t>1650 Avenida das Americas</t>
  </si>
  <si>
    <t>Rua Lopes Quintas</t>
  </si>
  <si>
    <t>Peru IOC</t>
  </si>
  <si>
    <t>Confederations Cup - Done in July 2017</t>
  </si>
  <si>
    <t>BDJV5099</t>
  </si>
  <si>
    <t>NBA.NJ</t>
  </si>
  <si>
    <t>Delivered</t>
  </si>
  <si>
    <t>NBA.AE</t>
  </si>
  <si>
    <t>BDJV5097</t>
  </si>
  <si>
    <t>BDJV5096</t>
  </si>
  <si>
    <t>FRO2006373871</t>
  </si>
  <si>
    <t>Lima, Peru</t>
  </si>
  <si>
    <t>WSHT</t>
  </si>
  <si>
    <t>LGLS</t>
  </si>
  <si>
    <t>ROJA</t>
  </si>
  <si>
    <t>NBA</t>
  </si>
  <si>
    <t>35228 / 35229 / S11627LI / S11628LI</t>
  </si>
  <si>
    <t>117384 / S14503LI</t>
  </si>
  <si>
    <t>SAFD</t>
  </si>
  <si>
    <t>PVBE</t>
  </si>
  <si>
    <t>DENV</t>
  </si>
  <si>
    <t>LNDN</t>
  </si>
  <si>
    <t>EWCL</t>
  </si>
  <si>
    <t>GNVE</t>
  </si>
  <si>
    <t>SYDN</t>
  </si>
  <si>
    <t>HGKG</t>
  </si>
  <si>
    <t>MANS</t>
  </si>
  <si>
    <t>NWAK</t>
  </si>
  <si>
    <t>Regions</t>
  </si>
  <si>
    <t>WSHT, SAFD</t>
  </si>
  <si>
    <t>WSHT, PVBE</t>
  </si>
  <si>
    <t>WSHT, DENV</t>
  </si>
  <si>
    <t>WSHT, LNDN</t>
  </si>
  <si>
    <t>WSHT, LGLS</t>
  </si>
  <si>
    <t>WSHT, MANS</t>
  </si>
  <si>
    <t>WSHT, NWAK</t>
  </si>
  <si>
    <t>WSHT, NWYK</t>
  </si>
  <si>
    <t>WSHT, NBA</t>
  </si>
  <si>
    <t>NWYK, NBA</t>
  </si>
  <si>
    <t>NWYK, EWCL</t>
  </si>
  <si>
    <t>NWYK, PVBE</t>
  </si>
  <si>
    <t>ROJA, WSHT</t>
  </si>
  <si>
    <t>NBA, WSHT</t>
  </si>
  <si>
    <t>NWYK, LIMA</t>
  </si>
  <si>
    <t>2nd Floor DC/CMR Room of the NBA datacenter. Level 3 Rack RMU 37 Ports 1/2</t>
  </si>
  <si>
    <t>US Circuits</t>
  </si>
  <si>
    <t>Point to Point HD-SDI</t>
  </si>
  <si>
    <t>1.5 Gbps</t>
  </si>
  <si>
    <t>Encompass 4282</t>
  </si>
  <si>
    <t>Encompass 4328</t>
  </si>
  <si>
    <t>Encompass 4266</t>
  </si>
  <si>
    <t>Encompass 4325</t>
  </si>
  <si>
    <t>Coresite</t>
  </si>
  <si>
    <t>CAS 12205 / SVC 23049</t>
  </si>
  <si>
    <t>LA1-10-1010-CORE-TK09</t>
  </si>
  <si>
    <t>CAS 14238 / SVC 23112</t>
  </si>
  <si>
    <t>CAS 14239 / SVC 23030</t>
  </si>
  <si>
    <t>CAS 602694 / SVC 269278</t>
  </si>
  <si>
    <t>CAS 45192 / SVC 23110</t>
  </si>
  <si>
    <t>CAS 49899 / SVC 23478</t>
  </si>
  <si>
    <t>CAS 55779 / SVC 23664</t>
  </si>
  <si>
    <t>CAS 55781 / SVC 23672</t>
  </si>
  <si>
    <t>Telehouse</t>
  </si>
  <si>
    <t>CAS 12274 / SVC 23043</t>
  </si>
  <si>
    <t>CAS 98247 / SVC 55752</t>
  </si>
  <si>
    <t>CAS 81465 / SVC 25472</t>
  </si>
  <si>
    <t>CAS 67614 / SVC 24148</t>
  </si>
  <si>
    <t>CAS 67613 / SVC 24147</t>
  </si>
  <si>
    <t>CAS 21243 / SVC 23035</t>
  </si>
  <si>
    <t>CAS 70167 / SVC 24349</t>
  </si>
  <si>
    <t>Yes</t>
  </si>
  <si>
    <t>2nd Floor DC/CMR Room of the NBA datacenter. Level 3 Rack RMU 37 Ports 5/6</t>
  </si>
  <si>
    <t>Interoute 140400</t>
  </si>
  <si>
    <t>Equinix ref 4-72070791814</t>
  </si>
  <si>
    <t>Equinix ref 4-46198996658</t>
  </si>
  <si>
    <t>Equinix ref 4-46200512324</t>
  </si>
  <si>
    <t>Equinix ref 4-43010134815</t>
  </si>
  <si>
    <t>Equinix ref 4-43918265771</t>
  </si>
  <si>
    <t>Cross Connect 1</t>
  </si>
  <si>
    <t>Cross Connect 2</t>
  </si>
  <si>
    <t>Yes (NY9)</t>
  </si>
  <si>
    <t>Yes (NY2)</t>
  </si>
  <si>
    <t>Yes (LA)</t>
  </si>
  <si>
    <t>Equinix ref 4-66042740329</t>
  </si>
  <si>
    <t>Equinix ref 4-69521718933</t>
  </si>
  <si>
    <t>Equinix ref 4-75406570749</t>
  </si>
  <si>
    <t>Equinix ref 4-75839918130</t>
  </si>
  <si>
    <t>BDJV5098</t>
  </si>
  <si>
    <t>London, UK - Telecity</t>
  </si>
  <si>
    <t>Los Angeles, CA - 1 Wilshire</t>
  </si>
  <si>
    <t>Washington, DC - Mobile Video</t>
  </si>
  <si>
    <t>New York, NY - Equinix (Secaucus, NJ)</t>
  </si>
  <si>
    <t>Secaucus, NJ - NBA</t>
  </si>
  <si>
    <t>Englewood Cliffs, NJ - CNBC</t>
  </si>
  <si>
    <t>Los Angeles, CA - The Switch LA</t>
  </si>
  <si>
    <t>Los Angeles, CA - Fox Sports International</t>
  </si>
  <si>
    <t>Washington, DC - Eurovision</t>
  </si>
  <si>
    <t>New York, NY - Equinix</t>
  </si>
  <si>
    <t>Equinix ref 4-42759920143</t>
  </si>
  <si>
    <t>Equinix ref 4-42760474679</t>
  </si>
  <si>
    <t>Encompass</t>
  </si>
  <si>
    <t>RCN Loop 10/TVGS/000002/OED</t>
  </si>
  <si>
    <t>Verizon Loop 32TDGA112081</t>
  </si>
  <si>
    <t>Verizon Loop 32TDGA112080</t>
  </si>
  <si>
    <t>Verizon Loop 32TDGA112065</t>
  </si>
  <si>
    <t>Verizon Loop 32TBGS115912</t>
  </si>
  <si>
    <t>Encompass 4326</t>
  </si>
  <si>
    <t>13TDGS575547</t>
  </si>
  <si>
    <t>Input port</t>
  </si>
  <si>
    <t>EAI-1 on the LA Switch</t>
  </si>
  <si>
    <t>13TDGS575548</t>
  </si>
  <si>
    <t>Output port</t>
  </si>
  <si>
    <t>EAI-2 on the LA Switch</t>
  </si>
  <si>
    <t>EAI-5 DC</t>
  </si>
  <si>
    <t>EAI-5 on the DC Switch (TV Globo Permanent)</t>
  </si>
  <si>
    <t>EAI-6 DC</t>
  </si>
  <si>
    <t>EAI-6 on the DC Switch (TV Globo Permanent)</t>
  </si>
  <si>
    <t>EAI-1 DC</t>
  </si>
  <si>
    <t>EAI-1 on the DC Switch</t>
  </si>
  <si>
    <t>EAI-2 DC</t>
  </si>
  <si>
    <t>EAI-2 on the DC Switch</t>
  </si>
  <si>
    <t>EAI-3 DC</t>
  </si>
  <si>
    <t>EAI-3 on the DC Switch</t>
  </si>
  <si>
    <t>EAI-4 DC</t>
  </si>
  <si>
    <t>EAI-4 on the DC Switch</t>
  </si>
  <si>
    <t>32TBGS113591NY</t>
  </si>
  <si>
    <t>EAI-1 on the NY Switch</t>
  </si>
  <si>
    <t>32TBGS113592NY</t>
  </si>
  <si>
    <t>EAI-2 on the NY Switch</t>
  </si>
  <si>
    <t>NWYK.UN</t>
  </si>
  <si>
    <t>NWYK.MET</t>
  </si>
  <si>
    <t>100 Mbps</t>
  </si>
  <si>
    <t>800 Mbps</t>
  </si>
  <si>
    <t>32TBGS100089</t>
  </si>
  <si>
    <t>AUX1</t>
  </si>
  <si>
    <t>36TBGS100812 + 36TBGS100813</t>
  </si>
  <si>
    <t>REM1</t>
  </si>
  <si>
    <t>32TBGS114687NY</t>
  </si>
  <si>
    <t>36TBGS101219DC</t>
  </si>
  <si>
    <t>REM7</t>
  </si>
  <si>
    <t>36TBGS103101DC</t>
  </si>
  <si>
    <t>WH Camera</t>
  </si>
  <si>
    <t>36TBGS103529DC</t>
  </si>
  <si>
    <t>36TBGS103530DC</t>
  </si>
  <si>
    <t>36TBGS103531DC</t>
  </si>
  <si>
    <t>36TBGS103532DC</t>
  </si>
  <si>
    <t>RL-161103:02</t>
  </si>
  <si>
    <t>EAI-3 on the LA Switch</t>
  </si>
  <si>
    <t>TBGS100535</t>
  </si>
  <si>
    <t>SW-1 on the AVOC</t>
  </si>
  <si>
    <t>C-Span cross-connect on the AVOC</t>
  </si>
  <si>
    <t>IMF cross-connect on the AVOC</t>
  </si>
  <si>
    <t>TBGS100499</t>
  </si>
  <si>
    <t>TBGS100500</t>
  </si>
  <si>
    <t>TBGS101012</t>
  </si>
  <si>
    <t>SW-2 on the AVOC</t>
  </si>
  <si>
    <t>LOCAL</t>
  </si>
  <si>
    <t>WSHT, LOCAL</t>
  </si>
  <si>
    <t>NWYK, LOCAL</t>
  </si>
  <si>
    <t>LGLS, LOCAL</t>
  </si>
  <si>
    <t>CenturyLink</t>
  </si>
  <si>
    <t>CenturyLink BDDG0065 / Interoute 137306</t>
  </si>
  <si>
    <t>Yes (NBA.NJ)</t>
  </si>
  <si>
    <t>1819 L Street, NW Suite 100</t>
  </si>
  <si>
    <t>No</t>
  </si>
  <si>
    <t>36TBGS104497DC + 36TBGS104498DC</t>
  </si>
  <si>
    <t>1615 H Street, NW</t>
  </si>
  <si>
    <t>Washington, DC - Skehan</t>
  </si>
  <si>
    <t>Chamber of Commerce - Penthouse Machine Room</t>
  </si>
  <si>
    <t>36TBGS104521DC</t>
  </si>
  <si>
    <t>103101 + 101131DC</t>
  </si>
  <si>
    <t>WSHT.TRTRTW</t>
  </si>
  <si>
    <t>Billing: A/197/001</t>
  </si>
  <si>
    <t>FRO2006253248</t>
  </si>
  <si>
    <t>FRO2005920291</t>
  </si>
  <si>
    <t>S128676 / 132566</t>
  </si>
  <si>
    <t>S128678 / 132569</t>
  </si>
  <si>
    <t>S128675 / 132565</t>
  </si>
  <si>
    <t>S128677 / 132568</t>
  </si>
  <si>
    <t>CrownCastle</t>
  </si>
  <si>
    <t>36129 (S14691)</t>
  </si>
  <si>
    <t>150 W 65th St</t>
  </si>
  <si>
    <t>Hibernia North</t>
  </si>
  <si>
    <t>Yelloh</t>
  </si>
  <si>
    <t>Apollo South</t>
  </si>
  <si>
    <t>36TBGS100089DC</t>
  </si>
  <si>
    <t>2175 K Street, NW</t>
  </si>
  <si>
    <t>Equinix RJ 01 - Rua Martins Ferreira, 91 Botafogo</t>
  </si>
  <si>
    <t>Unprotected</t>
  </si>
  <si>
    <t>4545 Stonegate Industrial Blvd</t>
  </si>
  <si>
    <t>Stone Mountain, GA</t>
  </si>
  <si>
    <t>9601 S Meridian Blvd</t>
  </si>
  <si>
    <t>Denver, CO</t>
  </si>
  <si>
    <t>Disconnect 11/15/18</t>
  </si>
  <si>
    <t>36TBGS104699DC</t>
  </si>
  <si>
    <t>555 Pennsylvania Avenue, NW</t>
  </si>
  <si>
    <t>Washington, DC - Newseum</t>
  </si>
  <si>
    <t>36TBGS104700DC</t>
  </si>
  <si>
    <t>Midterms</t>
  </si>
  <si>
    <t>36TBGS104696DC</t>
  </si>
  <si>
    <t>2000 M Street, NW</t>
  </si>
  <si>
    <t>137 Blvd Voltaire</t>
  </si>
  <si>
    <t>PARS.TH2</t>
  </si>
  <si>
    <t>Coriander Ave</t>
  </si>
  <si>
    <t>215 Marsh Wall</t>
  </si>
  <si>
    <t>Replaces BCQC7408</t>
  </si>
  <si>
    <t>Rack T24 – L3 Demark – Port 23\24 &gt; Fiber Tie line 5\6 &gt; WSHT3 slot5. To be replaced by 440661239</t>
  </si>
  <si>
    <t>36TBGS104709DC</t>
  </si>
  <si>
    <t>Rack Space</t>
  </si>
  <si>
    <t>Cabinet</t>
  </si>
  <si>
    <t>Product</t>
  </si>
  <si>
    <t>In Use</t>
  </si>
  <si>
    <t>ES Usage</t>
  </si>
  <si>
    <t>Order Date</t>
  </si>
  <si>
    <t>Cease date</t>
  </si>
  <si>
    <t>A: Patch Panel</t>
  </si>
  <si>
    <t>A: Ports</t>
  </si>
  <si>
    <t>Z: Side</t>
  </si>
  <si>
    <t>Z: Patch Panel</t>
  </si>
  <si>
    <t>Z: Ports</t>
  </si>
  <si>
    <t>MRC</t>
  </si>
  <si>
    <t>NY2: 01:002020</t>
  </si>
  <si>
    <t>Interconnection</t>
  </si>
  <si>
    <t>PP:0212:1020745</t>
  </si>
  <si>
    <t>7, 8</t>
  </si>
  <si>
    <t>CP:0203:1087319</t>
  </si>
  <si>
    <t>61, 62</t>
  </si>
  <si>
    <t>23, 24</t>
  </si>
  <si>
    <t>CP:0207:1046728</t>
  </si>
  <si>
    <t>ROJA GSAT Confed Cup</t>
  </si>
  <si>
    <t>FRO2006294667</t>
  </si>
  <si>
    <t>3, 4</t>
  </si>
  <si>
    <t>CP:0102:65435</t>
  </si>
  <si>
    <t>19, 20</t>
  </si>
  <si>
    <t>5, 6</t>
  </si>
  <si>
    <t>9, 10</t>
  </si>
  <si>
    <t>CP:0104:1057020</t>
  </si>
  <si>
    <t>63, 64</t>
  </si>
  <si>
    <t>WSHT3 FINE</t>
  </si>
  <si>
    <t>43, 44</t>
  </si>
  <si>
    <t>CP:0102:174486</t>
  </si>
  <si>
    <t>49, 50</t>
  </si>
  <si>
    <t>47, 48</t>
  </si>
  <si>
    <t>CP:0102:68681</t>
  </si>
  <si>
    <t>57, 58</t>
  </si>
  <si>
    <t>NY9</t>
  </si>
  <si>
    <t>45, 46</t>
  </si>
  <si>
    <t>CP:0102:68922</t>
  </si>
  <si>
    <t>Mans</t>
  </si>
  <si>
    <t>41, 42</t>
  </si>
  <si>
    <t>CP:0203:154613</t>
  </si>
  <si>
    <t>71. 72</t>
  </si>
  <si>
    <t>39, 40</t>
  </si>
  <si>
    <t>CP:0102:79754</t>
  </si>
  <si>
    <t>59, 60</t>
  </si>
  <si>
    <t>PP:0501:1020746</t>
  </si>
  <si>
    <t>NY9: 05:051880</t>
  </si>
  <si>
    <t>CP:0203:108707</t>
  </si>
  <si>
    <t>1, 2</t>
  </si>
  <si>
    <t>CP:0303:198763</t>
  </si>
  <si>
    <t>95, 96</t>
  </si>
  <si>
    <t>F1 PCCW</t>
  </si>
  <si>
    <t>13, 14</t>
  </si>
  <si>
    <t>CP:0102:191603</t>
  </si>
  <si>
    <t>15, 16</t>
  </si>
  <si>
    <t>11, 12</t>
  </si>
  <si>
    <t>69, 70</t>
  </si>
  <si>
    <t>CP:0303:198761</t>
  </si>
  <si>
    <t>Rogers</t>
  </si>
  <si>
    <t>46</t>
  </si>
  <si>
    <t>CP:0802:199331</t>
  </si>
  <si>
    <t>37, 38</t>
  </si>
  <si>
    <t>UEFA Stream</t>
  </si>
  <si>
    <t>Cogent</t>
  </si>
  <si>
    <t>CP:0809:193392</t>
  </si>
  <si>
    <t>CP:0206:108679</t>
  </si>
  <si>
    <t>140</t>
  </si>
  <si>
    <t>N</t>
  </si>
  <si>
    <t>45</t>
  </si>
  <si>
    <t>CP:0206:108678</t>
  </si>
  <si>
    <t>NY2</t>
  </si>
  <si>
    <t>43</t>
  </si>
  <si>
    <t>CP:0303:1095817</t>
  </si>
  <si>
    <t>F1 Tata</t>
  </si>
  <si>
    <t>17, 18</t>
  </si>
  <si>
    <t>Tata</t>
  </si>
  <si>
    <t>BCQC0767</t>
  </si>
  <si>
    <t>ESPN DS3</t>
  </si>
  <si>
    <t>ESPN PNL</t>
  </si>
  <si>
    <t>On KDDI drawing it is a third cross-connect, but has not been disconnected. OK to disconnect (3/26/19)</t>
  </si>
  <si>
    <t>LA1.CR400 RR.03.03</t>
  </si>
  <si>
    <t>89, 90</t>
  </si>
  <si>
    <t>LA1.CR1010 RR.01.04</t>
  </si>
  <si>
    <t>Old Fox circuit</t>
  </si>
  <si>
    <t>LA1.CR1100.C1123 RR.01.02</t>
  </si>
  <si>
    <t>LA1.CR1010 RR.01.05</t>
  </si>
  <si>
    <t>77, 78</t>
  </si>
  <si>
    <t>Labeled as "LA Switch"</t>
  </si>
  <si>
    <t>Labeled as "CBS Oscars". Attempted to disconnect in 2017 but circuit was active</t>
  </si>
  <si>
    <t>65, 66</t>
  </si>
  <si>
    <t>CAS 47875 / SVC 23415</t>
  </si>
  <si>
    <t>LA1.CR1010 CAB TK09</t>
  </si>
  <si>
    <t>LA1.CR400 RR.02.04</t>
  </si>
  <si>
    <t>113, 114</t>
  </si>
  <si>
    <t>CAS 377768 / SVC 23113</t>
  </si>
  <si>
    <t>FiNE - LGLS.POP - SYDN.EQNX</t>
  </si>
  <si>
    <t>EP2351</t>
  </si>
  <si>
    <t>LA1.CR1100. RR.01.04</t>
  </si>
  <si>
    <t>Listed PCCW STM1</t>
  </si>
  <si>
    <t>LA1.CR400 RR.01.02</t>
  </si>
  <si>
    <t>FiNE - LGLS.POP - WSHT1</t>
  </si>
  <si>
    <t>FiNE - LGLS.POP - NWYK.EQNX9</t>
  </si>
  <si>
    <t>FiNE - LGLS.POP - LGLS.PACTV</t>
  </si>
  <si>
    <t>Replaced BCQD0765</t>
  </si>
  <si>
    <t>Listed as PCCW HGKG?</t>
  </si>
  <si>
    <t>CAS 1945894 / SVC1559336</t>
  </si>
  <si>
    <t>ESPN Data</t>
  </si>
  <si>
    <t>LA1.CR400 CAB W03</t>
  </si>
  <si>
    <t>ESPN data circuit?</t>
  </si>
  <si>
    <t>CAS 1974862 / SVC1566510</t>
  </si>
  <si>
    <t>ESPN Router</t>
  </si>
  <si>
    <t>ESPN router data</t>
  </si>
  <si>
    <t>FiNE - NWYK.EQNX2 - GNVA3</t>
  </si>
  <si>
    <t>FiNE - NWYK.EQNX9 - NWYK.BRTVG</t>
  </si>
  <si>
    <t>FiNE - NWYK.EQNX9 - NWYK</t>
  </si>
  <si>
    <t>FiNE - NWYK.EQNX2 - ROJA.EQNX</t>
  </si>
  <si>
    <t>FiNE - NWYK.EQNX9 - LGLS.POP</t>
  </si>
  <si>
    <t>FiNE - NWYK.EQNX9 - PVBE.PGA1</t>
  </si>
  <si>
    <t>BRBAND to Comcast DryCreek</t>
  </si>
  <si>
    <t>F1 PCCW (2013)</t>
  </si>
  <si>
    <t>F1 Shanghai (2012)</t>
  </si>
  <si>
    <t>FiNE - LGLS.POP - HGKG.POP</t>
  </si>
  <si>
    <t>440661239</t>
  </si>
  <si>
    <t>FiNE - WSHT3 - NY5</t>
  </si>
  <si>
    <t>5</t>
  </si>
  <si>
    <t>CP:0000:1050317</t>
  </si>
  <si>
    <t>Replaces BCMJ9540</t>
  </si>
  <si>
    <t>Replaces BCWF5276</t>
  </si>
  <si>
    <t>Upgrading to 10G (3/26/19). To be replaced by 440886253</t>
  </si>
  <si>
    <t>BRBAND</t>
  </si>
  <si>
    <t>32TBGA113710NY + 32TBGS115301NY</t>
  </si>
  <si>
    <t>400 Mbps</t>
  </si>
  <si>
    <t>EP5527</t>
  </si>
  <si>
    <t>VYVX ASI multicast</t>
  </si>
  <si>
    <t>ASI</t>
  </si>
  <si>
    <t>VYVX ASI multicast - 4735596</t>
  </si>
  <si>
    <t>VYVX ASI multicast - 4710957</t>
  </si>
  <si>
    <t>Crown Castle ID: 161679-XCON-CCF</t>
  </si>
  <si>
    <t>122319AB</t>
  </si>
  <si>
    <t>Dark fiber - Protection for 116446AB</t>
  </si>
  <si>
    <t>EAI500MbTEMP</t>
  </si>
  <si>
    <t>9:6</t>
  </si>
  <si>
    <t>500 Mb</t>
  </si>
  <si>
    <t>CAS 02073037 / SVC 001596551</t>
  </si>
  <si>
    <t>FINA 2019</t>
  </si>
  <si>
    <t>LA.CR1010 CAB TK09</t>
  </si>
  <si>
    <t>KT America</t>
  </si>
  <si>
    <t>LA.CR2800 C2873.RACK 2</t>
  </si>
  <si>
    <t>87, 88</t>
  </si>
  <si>
    <t>CAS 02213989</t>
  </si>
  <si>
    <t>ISU from Korea</t>
  </si>
  <si>
    <t>AMV</t>
  </si>
  <si>
    <t>NWYK.ESTVE</t>
  </si>
  <si>
    <t>Infinera Network. Not in D2F</t>
  </si>
  <si>
    <t>Telia Carrier</t>
  </si>
  <si>
    <t>IC-353717</t>
  </si>
  <si>
    <t>1275 K Street, NW</t>
  </si>
  <si>
    <t>100G</t>
  </si>
  <si>
    <t>IC-353667</t>
  </si>
  <si>
    <t>Infinera Network. Not in D2F. Protected</t>
  </si>
  <si>
    <t>4680 Conference Way South</t>
  </si>
  <si>
    <t>MIAM.EQNX3</t>
  </si>
  <si>
    <t>Network</t>
  </si>
  <si>
    <t>Local</t>
  </si>
  <si>
    <t>Infinera</t>
  </si>
  <si>
    <t>IC-353668</t>
  </si>
  <si>
    <t>50 NE 9th Street</t>
  </si>
  <si>
    <t>MIAM.EQNX1</t>
  </si>
  <si>
    <t>Infinera Network. Protected</t>
  </si>
  <si>
    <t>Subnetwork</t>
  </si>
  <si>
    <t>Client</t>
  </si>
  <si>
    <t>10G Ring</t>
  </si>
  <si>
    <t>ES Infra</t>
  </si>
  <si>
    <t>Nimbra</t>
  </si>
  <si>
    <t>Eurovision</t>
  </si>
  <si>
    <t>Stamford</t>
  </si>
  <si>
    <t>NBC Sports</t>
  </si>
  <si>
    <t>Coresite - LA1</t>
  </si>
  <si>
    <t>Celebro</t>
  </si>
  <si>
    <t>Bristow</t>
  </si>
  <si>
    <t>Internet / Telephony</t>
  </si>
  <si>
    <t>Newark</t>
  </si>
  <si>
    <t>SES New Skies</t>
  </si>
  <si>
    <t>Secaucus</t>
  </si>
  <si>
    <t>ARD Washington</t>
  </si>
  <si>
    <t>State Department</t>
  </si>
  <si>
    <t>Al Araby</t>
  </si>
  <si>
    <t>AVOC</t>
  </si>
  <si>
    <t>C-Span</t>
  </si>
  <si>
    <t>IMF</t>
  </si>
  <si>
    <t>TRT Washington (Ventana Productions)</t>
  </si>
  <si>
    <t>Chamber of Commerce (Skehan)</t>
  </si>
  <si>
    <t>ABS Networks (JOABSN)</t>
  </si>
  <si>
    <t>Equinix - NY2</t>
  </si>
  <si>
    <t>Stone Mountain</t>
  </si>
  <si>
    <t>Denver</t>
  </si>
  <si>
    <t>Cheyenne</t>
  </si>
  <si>
    <t>Comcast</t>
  </si>
  <si>
    <t>St. Augustine</t>
  </si>
  <si>
    <t>PGA</t>
  </si>
  <si>
    <t>10G to the PGA</t>
  </si>
  <si>
    <t>London</t>
  </si>
  <si>
    <t>Telecity / Digital Reality</t>
  </si>
  <si>
    <t>New York</t>
  </si>
  <si>
    <t>ARD New York</t>
  </si>
  <si>
    <t>Equinix - NY9</t>
  </si>
  <si>
    <t>The Met</t>
  </si>
  <si>
    <t>United Nations</t>
  </si>
  <si>
    <t>ZDF New York</t>
  </si>
  <si>
    <t>Geneva</t>
  </si>
  <si>
    <t>Paris</t>
  </si>
  <si>
    <t>Telehouse - TH2</t>
  </si>
  <si>
    <t>Telehouse North</t>
  </si>
  <si>
    <t>The Switch Los Angeles</t>
  </si>
  <si>
    <t>Sydney</t>
  </si>
  <si>
    <t>Hong Kong</t>
  </si>
  <si>
    <t>TVE New York</t>
  </si>
  <si>
    <t>Coresite - DC1</t>
  </si>
  <si>
    <t>Equinix - MI3</t>
  </si>
  <si>
    <t>Equinix - MI1</t>
  </si>
  <si>
    <t>A City</t>
  </si>
  <si>
    <t>description</t>
  </si>
  <si>
    <t>notes</t>
  </si>
  <si>
    <t>WSHT_DC1_1</t>
  </si>
  <si>
    <t>NWYK_EQNX2_1</t>
  </si>
  <si>
    <t>Z City</t>
  </si>
  <si>
    <t>FBDK/1480216 &amp; FBDK/1480216</t>
  </si>
  <si>
    <t>WSHT_EAI_1</t>
  </si>
  <si>
    <t>NWYK_EQNX9_1</t>
  </si>
  <si>
    <t>Infinera Network</t>
  </si>
  <si>
    <t>Dark fiber. S-VLAN333</t>
  </si>
  <si>
    <t>None</t>
  </si>
  <si>
    <t>125181AB</t>
  </si>
  <si>
    <t>USTA (US Open)</t>
  </si>
  <si>
    <t>US Open</t>
  </si>
  <si>
    <t>Not on network - US Open for NEP</t>
  </si>
  <si>
    <t>RCN USTA -&gt; RCN Ciena CN6500 2000-MST-CN6500 Slot 4 Port 17, 18</t>
  </si>
  <si>
    <t>Lumen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</si>
</sst>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3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9C65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i/>
      <sz val="18"/>
      <color theme="3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4">
    <xf numFmtId="0" fontId="0" fillId="0" borderId="0" applyNumberFormat="0" applyAlignment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16" fillId="26" borderId="0" applyNumberFormat="0" applyBorder="0" applyAlignment="0" applyProtection="0"/>
    <xf numFmtId="0" fontId="5" fillId="27" borderId="1" applyNumberFormat="0" applyAlignment="0" applyProtection="0"/>
    <xf numFmtId="0" fontId="15" fillId="28" borderId="2" applyNumberFormat="0" applyAlignment="0" applyProtection="0"/>
    <xf numFmtId="0" fontId="20" fillId="0" borderId="0" applyNumberFormat="0" applyFill="0" applyBorder="0" applyAlignment="0" applyProtection="0"/>
    <xf numFmtId="0" fontId="17" fillId="29" borderId="0" applyNumberFormat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0" borderId="1" applyNumberFormat="0" applyAlignment="0" applyProtection="0"/>
    <xf numFmtId="0" fontId="10" fillId="0" borderId="6" applyNumberFormat="0" applyFill="0" applyAlignment="0" applyProtection="0"/>
    <xf numFmtId="0" fontId="19" fillId="31" borderId="0" applyNumberFormat="0" applyBorder="0" applyAlignment="0" applyProtection="0"/>
    <xf numFmtId="0" fontId="1" fillId="32" borderId="7" applyNumberFormat="0" applyAlignment="0" applyProtection="0"/>
    <xf numFmtId="0" fontId="11" fillId="27" borderId="8" applyNumberFormat="0" applyAlignment="0" applyProtection="0"/>
    <xf numFmtId="0" fontId="12" fillId="0" borderId="0" applyNumberFormat="0" applyFill="0" applyBorder="0" applyAlignment="0" applyProtection="0"/>
    <xf numFmtId="0" fontId="13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53">
    <xf numFmtId="0" fontId="0" fillId="0" borderId="0" xfId="0"/>
    <xf numFmtId="0" fontId="0" fillId="33" borderId="0" xfId="0" applyFill="1"/>
    <xf numFmtId="0" fontId="0" fillId="0" borderId="10" xfId="0" applyBorder="1"/>
    <xf numFmtId="0" fontId="16" fillId="26" borderId="0" xfId="25"/>
    <xf numFmtId="0" fontId="14" fillId="0" borderId="0" xfId="0" applyFont="1"/>
    <xf numFmtId="0" fontId="16" fillId="26" borderId="0" xfId="25" applyBorder="1" applyAlignment="1">
      <alignment wrapText="1"/>
    </xf>
    <xf numFmtId="0" fontId="17" fillId="29" borderId="0" xfId="29"/>
    <xf numFmtId="0" fontId="17" fillId="29" borderId="11" xfId="29" applyBorder="1"/>
    <xf numFmtId="0" fontId="17" fillId="29" borderId="10" xfId="29" applyBorder="1"/>
    <xf numFmtId="0" fontId="17" fillId="29" borderId="0" xfId="29" applyBorder="1"/>
    <xf numFmtId="0" fontId="17" fillId="29" borderId="10" xfId="29" applyBorder="1" applyAlignment="1">
      <alignment wrapText="1"/>
    </xf>
    <xf numFmtId="0" fontId="16" fillId="26" borderId="0" xfId="25" applyBorder="1"/>
    <xf numFmtId="0" fontId="16" fillId="26" borderId="10" xfId="25" applyBorder="1"/>
    <xf numFmtId="0" fontId="17" fillId="29" borderId="0" xfId="29" applyBorder="1" applyAlignment="1">
      <alignment wrapText="1"/>
    </xf>
    <xf numFmtId="0" fontId="0" fillId="0" borderId="0" xfId="0" applyFill="1"/>
    <xf numFmtId="0" fontId="0" fillId="34" borderId="0" xfId="0" applyFill="1"/>
    <xf numFmtId="0" fontId="13" fillId="35" borderId="0" xfId="0" applyFont="1" applyFill="1"/>
    <xf numFmtId="0" fontId="2" fillId="0" borderId="0" xfId="0" applyFont="1"/>
    <xf numFmtId="0" fontId="0" fillId="0" borderId="0" xfId="0" applyFont="1"/>
    <xf numFmtId="0" fontId="1" fillId="0" borderId="0" xfId="0" applyFont="1"/>
    <xf numFmtId="0" fontId="0" fillId="0" borderId="0" xfId="25" applyFont="1" applyFill="1"/>
    <xf numFmtId="0" fontId="0" fillId="0" borderId="0" xfId="25" quotePrefix="1" applyFont="1" applyFill="1"/>
    <xf numFmtId="20" fontId="0" fillId="0" borderId="0" xfId="25" quotePrefix="1" applyNumberFormat="1" applyFont="1" applyFill="1"/>
    <xf numFmtId="0" fontId="6" fillId="0" borderId="3" xfId="30"/>
    <xf numFmtId="0" fontId="0" fillId="0" borderId="0" xfId="0" applyFont="1" applyFill="1"/>
    <xf numFmtId="0" fontId="0" fillId="31" borderId="0" xfId="36" applyFont="1"/>
    <xf numFmtId="0" fontId="0" fillId="31" borderId="0" xfId="36" quotePrefix="1" applyFont="1"/>
    <xf numFmtId="0" fontId="21" fillId="26" borderId="0" xfId="25" applyFont="1"/>
    <xf numFmtId="0" fontId="6" fillId="0" borderId="3" xfId="3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14" fontId="2" fillId="0" borderId="0" xfId="0" applyNumberFormat="1" applyFont="1" applyAlignment="1">
      <alignment horizontal="right"/>
    </xf>
    <xf numFmtId="0" fontId="0" fillId="0" borderId="0" xfId="0" quotePrefix="1" applyFont="1"/>
    <xf numFmtId="20" fontId="0" fillId="0" borderId="0" xfId="0" quotePrefix="1" applyNumberFormat="1" applyFont="1"/>
    <xf numFmtId="49" fontId="0" fillId="0" borderId="0" xfId="0" applyNumberFormat="1" applyFont="1"/>
    <xf numFmtId="49" fontId="0" fillId="0" borderId="0" xfId="0" applyNumberFormat="1" applyFont="1" applyAlignment="1">
      <alignment horizontal="left"/>
    </xf>
    <xf numFmtId="0" fontId="16" fillId="26" borderId="12" xfId="25" applyFont="1" applyFill="1" applyBorder="1"/>
    <xf numFmtId="0" fontId="16" fillId="26" borderId="13" xfId="25" applyFont="1" applyFill="1" applyBorder="1" applyAlignment="1">
      <alignment horizontal="left"/>
    </xf>
    <xf numFmtId="0" fontId="16" fillId="26" borderId="13" xfId="25" applyFont="1" applyFill="1" applyBorder="1"/>
    <xf numFmtId="0" fontId="16" fillId="26" borderId="14" xfId="0" applyFont="1" applyFill="1" applyBorder="1"/>
    <xf numFmtId="0" fontId="0" fillId="0" borderId="0" xfId="0" quotePrefix="1"/>
    <xf numFmtId="0" fontId="16" fillId="26" borderId="0" xfId="25" applyAlignment="1">
      <alignment horizontal="left"/>
    </xf>
    <xf numFmtId="0" fontId="16" fillId="26" borderId="12" xfId="0" applyFont="1" applyFill="1" applyBorder="1"/>
    <xf numFmtId="0" fontId="16" fillId="26" borderId="13" xfId="0" applyFont="1" applyFill="1" applyBorder="1" applyAlignment="1">
      <alignment horizontal="left"/>
    </xf>
    <xf numFmtId="0" fontId="16" fillId="26" borderId="13" xfId="0" applyFont="1" applyFill="1" applyBorder="1"/>
    <xf numFmtId="0" fontId="0" fillId="0" borderId="12" xfId="0" applyFont="1" applyBorder="1"/>
    <xf numFmtId="0" fontId="0" fillId="0" borderId="13" xfId="0" applyFont="1" applyBorder="1"/>
    <xf numFmtId="0" fontId="0" fillId="0" borderId="14" xfId="0" applyFont="1" applyBorder="1"/>
    <xf numFmtId="0" fontId="0" fillId="0" borderId="13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/>
    <xf numFmtId="0" fontId="22" fillId="0" borderId="0" xfId="0" quotePrefix="1" applyFont="1"/>
    <xf numFmtId="0" fontId="0" fillId="36" borderId="13" xfId="0" applyFont="1" applyFill="1" applyBorder="1"/>
    <xf numFmtId="0" fontId="0" fillId="36" borderId="14" xfId="0" applyFont="1" applyFill="1" applyBorder="1"/>
    <xf numFmtId="0" fontId="0" fillId="36" borderId="12" xfId="36" applyFont="1" applyFill="1" applyBorder="1"/>
    <xf numFmtId="0" fontId="0" fillId="36" borderId="13" xfId="36" applyFont="1" applyFill="1" applyBorder="1" applyAlignment="1">
      <alignment horizontal="left"/>
    </xf>
    <xf numFmtId="0" fontId="0" fillId="36" borderId="13" xfId="36" applyFont="1" applyFill="1" applyBorder="1"/>
    <xf numFmtId="0" fontId="0" fillId="36" borderId="13" xfId="0" applyFont="1" applyFill="1" applyBorder="1" applyAlignment="1">
      <alignment horizontal="left"/>
    </xf>
    <xf numFmtId="0" fontId="0" fillId="36" borderId="12" xfId="0" applyFont="1" applyFill="1" applyBorder="1"/>
    <xf numFmtId="0" fontId="0" fillId="26" borderId="12" xfId="25" applyFont="1" applyBorder="1"/>
    <xf numFmtId="0" fontId="0" fillId="26" borderId="13" xfId="25" applyFont="1" applyBorder="1" applyAlignment="1">
      <alignment horizontal="left"/>
    </xf>
    <xf numFmtId="0" fontId="0" fillId="26" borderId="13" xfId="25" applyFont="1" applyBorder="1"/>
    <xf numFmtId="0" fontId="16" fillId="26" borderId="12" xfId="36" applyFont="1" applyFill="1" applyBorder="1"/>
    <xf numFmtId="0" fontId="16" fillId="26" borderId="13" xfId="36" applyFont="1" applyFill="1" applyBorder="1" applyAlignment="1">
      <alignment horizontal="left"/>
    </xf>
    <xf numFmtId="0" fontId="16" fillId="26" borderId="13" xfId="36" applyFont="1" applyFill="1" applyBorder="1"/>
    <xf numFmtId="49" fontId="0" fillId="0" borderId="0" xfId="0" quotePrefix="1" applyNumberFormat="1" applyFont="1"/>
    <xf numFmtId="0" fontId="0" fillId="31" borderId="12" xfId="36" applyFont="1" applyBorder="1"/>
    <xf numFmtId="0" fontId="0" fillId="31" borderId="13" xfId="36" applyFont="1" applyBorder="1" applyAlignment="1">
      <alignment horizontal="left"/>
    </xf>
    <xf numFmtId="0" fontId="0" fillId="31" borderId="13" xfId="36" applyFont="1" applyBorder="1"/>
    <xf numFmtId="0" fontId="0" fillId="0" borderId="13" xfId="0" applyBorder="1"/>
    <xf numFmtId="0" fontId="0" fillId="0" borderId="13" xfId="0" quotePrefix="1" applyBorder="1"/>
    <xf numFmtId="20" fontId="0" fillId="0" borderId="13" xfId="0" quotePrefix="1" applyNumberFormat="1" applyFont="1" applyBorder="1"/>
    <xf numFmtId="0" fontId="0" fillId="0" borderId="13" xfId="0" quotePrefix="1" applyFont="1" applyBorder="1"/>
    <xf numFmtId="20" fontId="0" fillId="0" borderId="13" xfId="0" applyNumberFormat="1" applyFont="1" applyBorder="1"/>
    <xf numFmtId="0" fontId="23" fillId="0" borderId="0" xfId="0" applyFont="1"/>
    <xf numFmtId="2" fontId="6" fillId="0" borderId="3" xfId="30" applyNumberFormat="1"/>
    <xf numFmtId="2" fontId="1" fillId="0" borderId="0" xfId="0" applyNumberFormat="1" applyFont="1"/>
    <xf numFmtId="2" fontId="0" fillId="0" borderId="0" xfId="0" applyNumberFormat="1" applyFont="1"/>
    <xf numFmtId="2" fontId="2" fillId="0" borderId="0" xfId="0" applyNumberFormat="1" applyFont="1"/>
    <xf numFmtId="0" fontId="16" fillId="26" borderId="14" xfId="25" applyFont="1" applyFill="1" applyBorder="1"/>
    <xf numFmtId="0" fontId="16" fillId="26" borderId="0" xfId="25" quotePrefix="1"/>
    <xf numFmtId="0" fontId="17" fillId="29" borderId="13" xfId="29" applyFont="1" applyFill="1" applyBorder="1" applyAlignment="1">
      <alignment horizontal="left"/>
    </xf>
    <xf numFmtId="0" fontId="24" fillId="0" borderId="0" xfId="0" applyFont="1"/>
    <xf numFmtId="0" fontId="25" fillId="0" borderId="0" xfId="30" applyFont="1" applyBorder="1" applyAlignment="1">
      <alignment horizontal="left"/>
    </xf>
    <xf numFmtId="0" fontId="26" fillId="0" borderId="3" xfId="30" applyFont="1" applyAlignment="1">
      <alignment horizontal="left"/>
    </xf>
    <xf numFmtId="0" fontId="19" fillId="31" borderId="0" xfId="36"/>
    <xf numFmtId="0" fontId="19" fillId="31" borderId="0" xfId="36" applyAlignment="1">
      <alignment horizontal="left"/>
    </xf>
    <xf numFmtId="14" fontId="6" fillId="0" borderId="3" xfId="30" applyNumberFormat="1" applyAlignment="1">
      <alignment horizontal="right"/>
    </xf>
    <xf numFmtId="14" fontId="0" fillId="0" borderId="0" xfId="0" applyNumberFormat="1" applyFont="1" applyAlignment="1">
      <alignment horizontal="right"/>
    </xf>
    <xf numFmtId="14" fontId="19" fillId="31" borderId="0" xfId="36" applyNumberFormat="1" applyAlignment="1">
      <alignment horizontal="right"/>
    </xf>
    <xf numFmtId="2" fontId="19" fillId="31" borderId="0" xfId="36" applyNumberFormat="1"/>
    <xf numFmtId="49" fontId="27" fillId="0" borderId="0" xfId="42" applyNumberFormat="1"/>
    <xf numFmtId="0" fontId="17" fillId="29" borderId="13" xfId="29" applyFont="1" applyFill="1" applyBorder="1"/>
    <xf numFmtId="0" fontId="17" fillId="29" borderId="14" xfId="29" applyFont="1" applyFill="1" applyBorder="1"/>
    <xf numFmtId="0" fontId="16" fillId="26" borderId="12" xfId="25" applyBorder="1"/>
    <xf numFmtId="0" fontId="16" fillId="26" borderId="13" xfId="25" applyBorder="1"/>
    <xf numFmtId="0" fontId="16" fillId="26" borderId="13" xfId="25" quotePrefix="1" applyBorder="1"/>
    <xf numFmtId="14" fontId="1" fillId="0" borderId="0" xfId="0" applyNumberFormat="1" applyFont="1" applyAlignment="1">
      <alignment horizontal="right"/>
    </xf>
    <xf numFmtId="0" fontId="19" fillId="31" borderId="0" xfId="36" quotePrefix="1"/>
    <xf numFmtId="0" fontId="27" fillId="31" borderId="0" xfId="42" applyFill="1"/>
    <xf numFmtId="0" fontId="0" fillId="0" borderId="0" xfId="0" quotePrefix="1" applyNumberFormat="1"/>
    <xf numFmtId="14" fontId="6" fillId="0" borderId="3" xfId="30" applyNumberForma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14" fontId="0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20" fontId="16" fillId="26" borderId="0" xfId="25" quotePrefix="1" applyNumberFormat="1"/>
    <xf numFmtId="8" fontId="6" fillId="0" borderId="3" xfId="30" applyNumberFormat="1"/>
    <xf numFmtId="14" fontId="19" fillId="31" borderId="0" xfId="36" applyNumberFormat="1" applyAlignment="1">
      <alignment horizontal="left" vertical="center"/>
    </xf>
    <xf numFmtId="0" fontId="17" fillId="29" borderId="0" xfId="29" applyAlignment="1">
      <alignment horizontal="left"/>
    </xf>
    <xf numFmtId="0" fontId="17" fillId="29" borderId="0" xfId="29" applyFont="1"/>
    <xf numFmtId="0" fontId="17" fillId="29" borderId="0" xfId="29" applyFont="1" applyAlignment="1">
      <alignment horizontal="left"/>
    </xf>
    <xf numFmtId="0" fontId="17" fillId="29" borderId="0" xfId="29" quotePrefix="1"/>
    <xf numFmtId="49" fontId="19" fillId="31" borderId="0" xfId="36" applyNumberFormat="1"/>
    <xf numFmtId="0" fontId="28" fillId="0" borderId="0" xfId="0" applyFont="1"/>
    <xf numFmtId="0" fontId="29" fillId="0" borderId="0" xfId="0" applyFont="1"/>
    <xf numFmtId="14" fontId="29" fillId="0" borderId="0" xfId="0" applyNumberFormat="1" applyFont="1" applyAlignment="1">
      <alignment horizontal="left" vertical="center"/>
    </xf>
    <xf numFmtId="44" fontId="2" fillId="0" borderId="0" xfId="43" applyFont="1"/>
    <xf numFmtId="44" fontId="0" fillId="0" borderId="0" xfId="43" applyFont="1"/>
    <xf numFmtId="14" fontId="0" fillId="0" borderId="0" xfId="0" applyNumberFormat="1" applyFont="1" applyBorder="1" applyAlignment="1">
      <alignment horizontal="left" vertical="center"/>
    </xf>
    <xf numFmtId="2" fontId="0" fillId="0" borderId="0" xfId="0" quotePrefix="1" applyNumberFormat="1" applyFont="1"/>
    <xf numFmtId="44" fontId="19" fillId="31" borderId="0" xfId="36" applyNumberFormat="1"/>
    <xf numFmtId="0" fontId="29" fillId="0" borderId="0" xfId="0" applyFont="1" applyAlignment="1">
      <alignment horizontal="left" vertical="center"/>
    </xf>
    <xf numFmtId="2" fontId="29" fillId="0" borderId="0" xfId="0" applyNumberFormat="1" applyFont="1" applyAlignment="1">
      <alignment horizontal="left" vertical="center"/>
    </xf>
    <xf numFmtId="14" fontId="16" fillId="26" borderId="0" xfId="25" applyNumberFormat="1" applyAlignment="1">
      <alignment horizontal="right"/>
    </xf>
    <xf numFmtId="14" fontId="16" fillId="26" borderId="0" xfId="25" applyNumberFormat="1" applyBorder="1" applyAlignment="1">
      <alignment horizontal="left" vertical="center"/>
    </xf>
    <xf numFmtId="2" fontId="16" fillId="26" borderId="0" xfId="25" applyNumberFormat="1"/>
    <xf numFmtId="44" fontId="16" fillId="26" borderId="0" xfId="25" applyNumberFormat="1"/>
    <xf numFmtId="14" fontId="16" fillId="26" borderId="0" xfId="25" applyNumberFormat="1" applyAlignment="1">
      <alignment horizontal="left" vertical="center"/>
    </xf>
    <xf numFmtId="2" fontId="16" fillId="26" borderId="0" xfId="25" applyNumberFormat="1" applyBorder="1"/>
    <xf numFmtId="14" fontId="0" fillId="0" borderId="15" xfId="0" applyNumberFormat="1" applyFont="1" applyBorder="1" applyAlignment="1">
      <alignment horizontal="left" vertical="center"/>
    </xf>
    <xf numFmtId="14" fontId="16" fillId="26" borderId="15" xfId="25" applyNumberFormat="1" applyBorder="1" applyAlignment="1">
      <alignment horizontal="left" vertical="center"/>
    </xf>
    <xf numFmtId="0" fontId="0" fillId="0" borderId="0" xfId="0" applyFont="1" applyBorder="1"/>
    <xf numFmtId="14" fontId="0" fillId="0" borderId="0" xfId="0" applyNumberFormat="1" applyAlignment="1">
      <alignment horizontal="right"/>
    </xf>
    <xf numFmtId="14" fontId="0" fillId="0" borderId="0" xfId="0" applyNumberFormat="1" applyAlignment="1">
      <alignment horizontal="left" vertical="center"/>
    </xf>
    <xf numFmtId="2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/>
    <xf numFmtId="14" fontId="0" fillId="0" borderId="0" xfId="0" quotePrefix="1" applyNumberFormat="1" applyFont="1" applyAlignment="1">
      <alignment horizontal="right"/>
    </xf>
    <xf numFmtId="49" fontId="27" fillId="36" borderId="13" xfId="42" applyNumberFormat="1" applyFont="1" applyFill="1" applyBorder="1"/>
    <xf numFmtId="0" fontId="0" fillId="36" borderId="13" xfId="0" quotePrefix="1" applyFont="1" applyFill="1" applyBorder="1"/>
    <xf numFmtId="0" fontId="30" fillId="0" borderId="0" xfId="0" applyFont="1"/>
    <xf numFmtId="49" fontId="0" fillId="0" borderId="0" xfId="0" applyNumberFormat="1"/>
    <xf numFmtId="2" fontId="16" fillId="26" borderId="0" xfId="25" applyNumberFormat="1" applyAlignment="1">
      <alignment horizontal="left"/>
    </xf>
    <xf numFmtId="44" fontId="16" fillId="26" borderId="0" xfId="25" applyNumberFormat="1" applyAlignment="1">
      <alignment horizontal="right"/>
    </xf>
    <xf numFmtId="0" fontId="31" fillId="0" borderId="0" xfId="0" applyFont="1"/>
    <xf numFmtId="14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 vertical="center"/>
    </xf>
    <xf numFmtId="2" fontId="31" fillId="0" borderId="0" xfId="0" applyNumberFormat="1" applyFont="1" applyAlignment="1">
      <alignment horizontal="left" vertical="center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44" fontId="31" fillId="0" borderId="0" xfId="43" applyFont="1"/>
    <xf numFmtId="0" fontId="0" fillId="29" borderId="0" xfId="29" applyFont="1"/>
    <xf numFmtId="0" fontId="0" fillId="0" borderId="0" xfId="0" applyFont="1" applyAlignment="1"/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3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2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 customBuiltin="1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71"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m/d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Calibri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</dxfs>
  <tableStyles count="0" defaultTableStyle="TableStyleMedium2" defaultPivotStyle="PivotStyleLight16"/>
  <colors>
    <mruColors>
      <color rgb="FFFFC7CE"/>
      <color rgb="FF9C0006"/>
      <color rgb="FFCC3300"/>
      <color rgb="FFF796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5" name="FiNE_Circuits" displayName="FiNE_Circuits" ref="A3:T74" totalsRowShown="0" headerRowDxfId="70" dataDxfId="69">
  <autoFilter ref="A3:T74">
    <filterColumn colId="3">
      <filters>
        <filter val="BDJV5098"/>
        <filter val="BDJV5099"/>
      </filters>
    </filterColumn>
  </autoFilter>
  <sortState ref="C4:U81">
    <sortCondition descending="1" ref="G3:G81"/>
  </sortState>
  <tableColumns count="20">
    <tableColumn id="19" name="Network" dataDxfId="68"/>
    <tableColumn id="16" name="Subnetwork" dataDxfId="67" dataCellStyle="Good"/>
    <tableColumn id="1" name="Provider" dataDxfId="66" dataCellStyle="Good"/>
    <tableColumn id="3" name="Circuit ID" dataDxfId="65" dataCellStyle="Good"/>
    <tableColumn id="18" name="A City" dataDxfId="64" dataCellStyle="Good"/>
    <tableColumn id="8" name="A Address" dataDxfId="63" dataCellStyle="Good"/>
    <tableColumn id="13" name="A Location" dataDxfId="62"/>
    <tableColumn id="2" name="A Node" dataDxfId="61"/>
    <tableColumn id="4" name="Port" dataDxfId="60"/>
    <tableColumn id="10" name="Z City" dataDxfId="59"/>
    <tableColumn id="5" name="Z Address" dataDxfId="58"/>
    <tableColumn id="6" name="Z Location" dataDxfId="57"/>
    <tableColumn id="7" name="Z Node" dataDxfId="56"/>
    <tableColumn id="9" name="Port2" dataDxfId="55"/>
    <tableColumn id="14" name="Service" dataDxfId="54"/>
    <tableColumn id="17" name="Bandwidth" dataCellStyle="Neutral"/>
    <tableColumn id="15" name="Cross Connect 1" dataCellStyle="Normal"/>
    <tableColumn id="11" name="Cross Connect 2" dataDxfId="53"/>
    <tableColumn id="12" name="description" dataDxfId="52"/>
    <tableColumn id="20" name="notes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3:P48" totalsRowShown="0" headerRowDxfId="50" dataDxfId="49">
  <autoFilter ref="A3:P48"/>
  <sortState ref="A4:P45">
    <sortCondition sortBy="cellColor" ref="A3:A45" dxfId="48"/>
  </sortState>
  <tableColumns count="16">
    <tableColumn id="1" name="Rack Space" dataDxfId="47"/>
    <tableColumn id="2" name="Provider" dataDxfId="46"/>
    <tableColumn id="4" name="Cabinet" dataDxfId="45"/>
    <tableColumn id="5" name="Product" dataDxfId="44"/>
    <tableColumn id="6" name="In Use" dataDxfId="43"/>
    <tableColumn id="7" name="ES Usage" dataDxfId="42"/>
    <tableColumn id="8" name="Order Date" dataDxfId="41"/>
    <tableColumn id="9" name="Cease date" dataDxfId="40"/>
    <tableColumn id="11" name="Circuit ID" dataDxfId="39"/>
    <tableColumn id="12" name="A: Patch Panel"/>
    <tableColumn id="13" name="A: Ports" dataDxfId="38"/>
    <tableColumn id="15" name="Z: Side" dataDxfId="37"/>
    <tableColumn id="17" name="Z: Patch Panel" dataDxfId="36"/>
    <tableColumn id="18" name="Z: Ports" dataDxfId="35"/>
    <tableColumn id="20" name="MRC" dataDxfId="34" dataCellStyle="Currency"/>
    <tableColumn id="21" name="Notes" dataDxfId="3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le57" displayName="Table57" ref="A1:M29" totalsRowShown="0" headerRowDxfId="32" dataDxfId="31">
  <autoFilter ref="A1:M29"/>
  <tableColumns count="13">
    <tableColumn id="1" name="Region" dataDxfId="30"/>
    <tableColumn id="2" name="A Node" dataDxfId="29"/>
    <tableColumn id="4" name="Port" dataDxfId="28"/>
    <tableColumn id="13" name="A Location" dataDxfId="27"/>
    <tableColumn id="6" name="Z Node" dataDxfId="26"/>
    <tableColumn id="7" name="Port2" dataDxfId="25"/>
    <tableColumn id="5" name="Z Location" dataDxfId="24"/>
    <tableColumn id="8" name="Provider" dataDxfId="23"/>
    <tableColumn id="10" name="Circuit ID" dataDxfId="22"/>
    <tableColumn id="9" name="Service" dataDxfId="21"/>
    <tableColumn id="14" name="Bandwidth" dataDxfId="20"/>
    <tableColumn id="11" name="Order notes" dataDxfId="19"/>
    <tableColumn id="12" name="Other info" data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T74"/>
  <sheetViews>
    <sheetView tabSelected="1" zoomScaleNormal="100" workbookViewId="0">
      <selection activeCell="C3" sqref="C3:N56"/>
    </sheetView>
  </sheetViews>
  <sheetFormatPr defaultColWidth="11.5703125" defaultRowHeight="12.75" x14ac:dyDescent="0.2"/>
  <cols>
    <col min="1" max="1" width="14.140625" style="17" bestFit="1" customWidth="1"/>
    <col min="2" max="2" width="12.85546875" style="29" bestFit="1" customWidth="1"/>
    <col min="3" max="3" width="17" style="29" bestFit="1" customWidth="1"/>
    <col min="4" max="4" width="31.42578125" style="29" bestFit="1" customWidth="1"/>
    <col min="5" max="5" width="10.5703125" bestFit="1" customWidth="1"/>
    <col min="6" max="6" width="15.28515625" style="17" bestFit="1" customWidth="1"/>
    <col min="7" max="7" width="19" style="17" bestFit="1" customWidth="1"/>
    <col min="8" max="8" width="11.42578125" style="17" bestFit="1" customWidth="1"/>
    <col min="9" max="9" width="6.7109375" style="17" bestFit="1" customWidth="1"/>
    <col min="10" max="10" width="13.5703125" bestFit="1" customWidth="1"/>
    <col min="11" max="11" width="40.42578125" bestFit="1" customWidth="1"/>
    <col min="12" max="12" width="32.42578125" bestFit="1" customWidth="1"/>
    <col min="13" max="13" width="13.85546875" bestFit="1" customWidth="1"/>
    <col min="14" max="14" width="7.7109375" style="17" bestFit="1" customWidth="1"/>
    <col min="15" max="15" width="17.85546875" style="17" bestFit="1" customWidth="1"/>
    <col min="16" max="16" width="11.7109375" style="17" bestFit="1" customWidth="1"/>
    <col min="17" max="18" width="15.85546875" style="17" bestFit="1" customWidth="1"/>
    <col min="19" max="19" width="41.28515625" style="17" bestFit="1" customWidth="1"/>
    <col min="20" max="20" width="121.5703125" style="17" bestFit="1" customWidth="1"/>
    <col min="21" max="16384" width="11.5703125" style="17"/>
  </cols>
  <sheetData>
    <row r="1" spans="1:20" ht="24" thickBot="1" x14ac:dyDescent="0.4">
      <c r="A1" s="106" t="s">
        <v>679</v>
      </c>
      <c r="B1" s="84"/>
      <c r="C1" s="84"/>
      <c r="D1" s="83"/>
      <c r="K1" s="17"/>
      <c r="L1" s="17"/>
      <c r="M1" s="17"/>
      <c r="N1"/>
      <c r="O1"/>
    </row>
    <row r="2" spans="1:20" ht="13.5" thickTop="1" x14ac:dyDescent="0.2">
      <c r="A2" s="19" t="s">
        <v>475</v>
      </c>
      <c r="B2" s="31">
        <f ca="1">TODAY()</f>
        <v>44144</v>
      </c>
      <c r="C2" s="31"/>
      <c r="D2" s="31"/>
      <c r="K2" s="17"/>
      <c r="L2" s="17"/>
      <c r="M2" s="17"/>
      <c r="N2"/>
      <c r="O2"/>
    </row>
    <row r="3" spans="1:20" x14ac:dyDescent="0.2">
      <c r="A3" s="18" t="s">
        <v>1006</v>
      </c>
      <c r="B3" s="18" t="s">
        <v>1013</v>
      </c>
      <c r="C3" s="18" t="s">
        <v>2</v>
      </c>
      <c r="D3" s="29" t="s">
        <v>4</v>
      </c>
      <c r="E3" s="30" t="s">
        <v>1064</v>
      </c>
      <c r="F3" s="30" t="s">
        <v>529</v>
      </c>
      <c r="G3" s="17" t="s">
        <v>454</v>
      </c>
      <c r="H3" s="17" t="s">
        <v>453</v>
      </c>
      <c r="I3" s="17" t="s">
        <v>67</v>
      </c>
      <c r="J3" s="18" t="s">
        <v>1069</v>
      </c>
      <c r="K3" s="18" t="s">
        <v>531</v>
      </c>
      <c r="L3" s="18" t="s">
        <v>452</v>
      </c>
      <c r="M3" s="18" t="s">
        <v>455</v>
      </c>
      <c r="N3" s="18" t="s">
        <v>84</v>
      </c>
      <c r="O3" s="18" t="s">
        <v>3</v>
      </c>
      <c r="P3" s="18" t="s">
        <v>456</v>
      </c>
      <c r="Q3" s="18" t="s">
        <v>712</v>
      </c>
      <c r="R3" s="18" t="s">
        <v>713</v>
      </c>
      <c r="S3" s="18" t="s">
        <v>1065</v>
      </c>
      <c r="T3" s="18" t="s">
        <v>1066</v>
      </c>
    </row>
    <row r="4" spans="1:20" customFormat="1" hidden="1" x14ac:dyDescent="0.2">
      <c r="A4" s="18" t="s">
        <v>1017</v>
      </c>
      <c r="B4" s="18" t="s">
        <v>1014</v>
      </c>
      <c r="C4" t="s">
        <v>794</v>
      </c>
      <c r="D4" s="18" t="s">
        <v>586</v>
      </c>
      <c r="E4" s="18" t="s">
        <v>445</v>
      </c>
      <c r="F4" t="s">
        <v>530</v>
      </c>
      <c r="G4" t="s">
        <v>1018</v>
      </c>
      <c r="H4" t="s">
        <v>44</v>
      </c>
      <c r="I4" s="40" t="s">
        <v>102</v>
      </c>
      <c r="J4" s="69" t="s">
        <v>1019</v>
      </c>
      <c r="K4" s="69" t="s">
        <v>544</v>
      </c>
      <c r="L4" s="69" t="s">
        <v>1020</v>
      </c>
      <c r="M4" s="70" t="s">
        <v>106</v>
      </c>
      <c r="N4" t="s">
        <v>49</v>
      </c>
      <c r="O4" t="s">
        <v>460</v>
      </c>
      <c r="P4" t="s">
        <v>89</v>
      </c>
      <c r="T4" s="18"/>
    </row>
    <row r="5" spans="1:20" hidden="1" x14ac:dyDescent="0.2">
      <c r="A5" s="18" t="s">
        <v>1017</v>
      </c>
      <c r="B5" s="18" t="s">
        <v>1015</v>
      </c>
      <c r="C5" s="18" t="s">
        <v>794</v>
      </c>
      <c r="D5" s="30" t="s">
        <v>122</v>
      </c>
      <c r="E5" s="30" t="s">
        <v>445</v>
      </c>
      <c r="F5" s="30" t="s">
        <v>530</v>
      </c>
      <c r="G5" t="s">
        <v>1018</v>
      </c>
      <c r="H5" s="18" t="s">
        <v>44</v>
      </c>
      <c r="I5" s="18" t="s">
        <v>124</v>
      </c>
      <c r="J5" s="18" t="s">
        <v>21</v>
      </c>
      <c r="K5" s="18" t="s">
        <v>537</v>
      </c>
      <c r="L5" s="18" t="s">
        <v>1021</v>
      </c>
      <c r="M5" s="18" t="s">
        <v>486</v>
      </c>
      <c r="N5" s="18" t="s">
        <v>100</v>
      </c>
      <c r="O5" s="18" t="s">
        <v>460</v>
      </c>
      <c r="P5" s="91" t="s">
        <v>89</v>
      </c>
      <c r="Q5" t="s">
        <v>704</v>
      </c>
      <c r="R5" s="18"/>
      <c r="S5" s="18"/>
      <c r="T5" s="18" t="s">
        <v>138</v>
      </c>
    </row>
    <row r="6" spans="1:20" hidden="1" x14ac:dyDescent="0.2">
      <c r="A6" s="18" t="s">
        <v>1007</v>
      </c>
      <c r="B6" s="18" t="s">
        <v>1016</v>
      </c>
      <c r="C6" t="s">
        <v>40</v>
      </c>
      <c r="D6" s="18" t="s">
        <v>819</v>
      </c>
      <c r="E6" s="18" t="s">
        <v>445</v>
      </c>
      <c r="F6" t="s">
        <v>530</v>
      </c>
      <c r="G6" t="s">
        <v>1018</v>
      </c>
      <c r="H6"/>
      <c r="I6" s="40"/>
      <c r="J6" s="40" t="s">
        <v>445</v>
      </c>
      <c r="K6" t="s">
        <v>550</v>
      </c>
      <c r="L6" t="s">
        <v>1022</v>
      </c>
      <c r="M6" s="40"/>
      <c r="N6"/>
      <c r="O6" t="s">
        <v>680</v>
      </c>
      <c r="P6" t="s">
        <v>681</v>
      </c>
      <c r="Q6" t="s">
        <v>798</v>
      </c>
      <c r="R6"/>
      <c r="S6" t="s">
        <v>768</v>
      </c>
      <c r="T6" s="18" t="s">
        <v>806</v>
      </c>
    </row>
    <row r="7" spans="1:20" hidden="1" x14ac:dyDescent="0.2">
      <c r="A7" s="18" t="s">
        <v>1007</v>
      </c>
      <c r="B7" s="18" t="s">
        <v>1016</v>
      </c>
      <c r="C7" s="18" t="s">
        <v>794</v>
      </c>
      <c r="D7" s="30" t="s">
        <v>28</v>
      </c>
      <c r="E7" s="30" t="s">
        <v>445</v>
      </c>
      <c r="F7" s="30" t="s">
        <v>530</v>
      </c>
      <c r="G7" t="s">
        <v>1018</v>
      </c>
      <c r="H7" s="18"/>
      <c r="I7" s="18"/>
      <c r="J7" s="18" t="s">
        <v>1023</v>
      </c>
      <c r="K7" s="18"/>
      <c r="L7" s="18" t="s">
        <v>794</v>
      </c>
      <c r="M7" s="18"/>
      <c r="N7" s="18"/>
      <c r="O7" s="18" t="s">
        <v>1024</v>
      </c>
      <c r="P7" s="18" t="s">
        <v>27</v>
      </c>
      <c r="Q7"/>
      <c r="R7" s="18"/>
      <c r="S7" s="18" t="s">
        <v>29</v>
      </c>
      <c r="T7" s="18"/>
    </row>
    <row r="8" spans="1:20" hidden="1" x14ac:dyDescent="0.2">
      <c r="A8" s="18" t="s">
        <v>1007</v>
      </c>
      <c r="B8" s="18" t="s">
        <v>1016</v>
      </c>
      <c r="C8" s="18" t="s">
        <v>794</v>
      </c>
      <c r="D8" s="30" t="s">
        <v>87</v>
      </c>
      <c r="E8" s="30" t="s">
        <v>445</v>
      </c>
      <c r="F8" s="30" t="s">
        <v>530</v>
      </c>
      <c r="G8" t="s">
        <v>1018</v>
      </c>
      <c r="H8" s="18"/>
      <c r="I8" s="18"/>
      <c r="J8" s="18" t="s">
        <v>1023</v>
      </c>
      <c r="K8" s="18"/>
      <c r="L8" s="18" t="s">
        <v>794</v>
      </c>
      <c r="M8" s="18"/>
      <c r="N8" s="18"/>
      <c r="O8" s="18" t="s">
        <v>978</v>
      </c>
      <c r="P8" s="18" t="s">
        <v>85</v>
      </c>
      <c r="Q8"/>
      <c r="R8" s="18"/>
      <c r="S8" s="18" t="s">
        <v>88</v>
      </c>
      <c r="T8" s="18"/>
    </row>
    <row r="9" spans="1:20" hidden="1" x14ac:dyDescent="0.2">
      <c r="A9" s="18" t="s">
        <v>1007</v>
      </c>
      <c r="B9" s="18" t="s">
        <v>1016</v>
      </c>
      <c r="C9" s="18" t="s">
        <v>794</v>
      </c>
      <c r="D9" s="30" t="s">
        <v>30</v>
      </c>
      <c r="E9" s="30" t="s">
        <v>445</v>
      </c>
      <c r="F9" s="30" t="s">
        <v>530</v>
      </c>
      <c r="G9" t="s">
        <v>1018</v>
      </c>
      <c r="H9" s="18"/>
      <c r="I9" s="18"/>
      <c r="J9" s="18" t="s">
        <v>1025</v>
      </c>
      <c r="K9" s="18"/>
      <c r="L9" s="18" t="s">
        <v>794</v>
      </c>
      <c r="M9" s="18"/>
      <c r="N9" s="18"/>
      <c r="O9" s="18" t="s">
        <v>1024</v>
      </c>
      <c r="P9" s="18" t="s">
        <v>27</v>
      </c>
      <c r="Q9"/>
      <c r="R9" s="18"/>
      <c r="S9" s="18" t="s">
        <v>520</v>
      </c>
      <c r="T9" s="18"/>
    </row>
    <row r="10" spans="1:20" hidden="1" x14ac:dyDescent="0.2">
      <c r="A10" s="18" t="s">
        <v>1007</v>
      </c>
      <c r="B10" s="18" t="s">
        <v>1016</v>
      </c>
      <c r="C10" s="18" t="s">
        <v>794</v>
      </c>
      <c r="D10" s="30" t="s">
        <v>519</v>
      </c>
      <c r="E10" s="30" t="s">
        <v>445</v>
      </c>
      <c r="F10" s="30" t="s">
        <v>530</v>
      </c>
      <c r="G10" t="s">
        <v>1018</v>
      </c>
      <c r="H10" s="18"/>
      <c r="I10" s="18"/>
      <c r="J10" s="18" t="s">
        <v>1025</v>
      </c>
      <c r="K10" s="18"/>
      <c r="L10" s="18" t="s">
        <v>794</v>
      </c>
      <c r="M10" s="18"/>
      <c r="N10" s="18"/>
      <c r="O10" s="18" t="s">
        <v>1024</v>
      </c>
      <c r="P10" s="18" t="s">
        <v>27</v>
      </c>
      <c r="Q10"/>
      <c r="R10" s="18"/>
      <c r="S10" s="18" t="s">
        <v>521</v>
      </c>
      <c r="T10" s="18"/>
    </row>
    <row r="11" spans="1:20" s="18" customFormat="1" hidden="1" x14ac:dyDescent="0.2">
      <c r="A11" s="18" t="s">
        <v>1017</v>
      </c>
      <c r="B11" s="18" t="s">
        <v>1016</v>
      </c>
      <c r="C11" s="18" t="s">
        <v>528</v>
      </c>
      <c r="D11" s="30">
        <v>23305</v>
      </c>
      <c r="E11" s="30" t="s">
        <v>445</v>
      </c>
      <c r="F11" s="30" t="s">
        <v>530</v>
      </c>
      <c r="G11" t="s">
        <v>1018</v>
      </c>
      <c r="H11" s="18" t="s">
        <v>44</v>
      </c>
      <c r="I11" s="18" t="s">
        <v>104</v>
      </c>
      <c r="J11" s="18" t="s">
        <v>1023</v>
      </c>
      <c r="K11" s="18" t="s">
        <v>548</v>
      </c>
      <c r="L11" s="18" t="s">
        <v>1026</v>
      </c>
      <c r="M11" s="18" t="s">
        <v>68</v>
      </c>
      <c r="N11" s="18" t="s">
        <v>49</v>
      </c>
      <c r="O11" s="18" t="s">
        <v>460</v>
      </c>
      <c r="P11" s="18" t="s">
        <v>85</v>
      </c>
      <c r="Q11"/>
      <c r="T11" s="18" t="s">
        <v>465</v>
      </c>
    </row>
    <row r="12" spans="1:20" hidden="1" x14ac:dyDescent="0.2">
      <c r="A12" s="18" t="s">
        <v>1017</v>
      </c>
      <c r="B12" s="18" t="s">
        <v>1014</v>
      </c>
      <c r="C12" t="s">
        <v>794</v>
      </c>
      <c r="D12" s="18" t="s">
        <v>642</v>
      </c>
      <c r="E12" s="18" t="s">
        <v>445</v>
      </c>
      <c r="F12" t="s">
        <v>530</v>
      </c>
      <c r="G12" t="s">
        <v>1018</v>
      </c>
      <c r="H12" t="s">
        <v>622</v>
      </c>
      <c r="I12" s="40" t="s">
        <v>49</v>
      </c>
      <c r="J12" t="s">
        <v>1027</v>
      </c>
      <c r="K12" t="s">
        <v>599</v>
      </c>
      <c r="L12" t="s">
        <v>649</v>
      </c>
      <c r="M12" s="40" t="s">
        <v>641</v>
      </c>
      <c r="N12" t="s">
        <v>49</v>
      </c>
      <c r="O12" t="s">
        <v>460</v>
      </c>
      <c r="P12" t="s">
        <v>89</v>
      </c>
      <c r="Q12"/>
      <c r="R12"/>
      <c r="S12"/>
      <c r="T12" s="18" t="s">
        <v>678</v>
      </c>
    </row>
    <row r="13" spans="1:20" hidden="1" x14ac:dyDescent="0.2">
      <c r="A13" s="18" t="s">
        <v>1017</v>
      </c>
      <c r="B13" s="18" t="s">
        <v>1016</v>
      </c>
      <c r="C13" t="s">
        <v>794</v>
      </c>
      <c r="D13" s="18" t="s">
        <v>807</v>
      </c>
      <c r="E13" s="18" t="s">
        <v>445</v>
      </c>
      <c r="F13" t="s">
        <v>530</v>
      </c>
      <c r="G13" t="s">
        <v>1018</v>
      </c>
      <c r="H13" t="s">
        <v>44</v>
      </c>
      <c r="I13" s="40" t="s">
        <v>613</v>
      </c>
      <c r="J13" t="s">
        <v>32</v>
      </c>
      <c r="K13" t="s">
        <v>821</v>
      </c>
      <c r="L13" t="s">
        <v>467</v>
      </c>
      <c r="M13" s="40" t="s">
        <v>115</v>
      </c>
      <c r="N13" t="s">
        <v>511</v>
      </c>
      <c r="O13" t="s">
        <v>460</v>
      </c>
      <c r="P13" t="s">
        <v>439</v>
      </c>
      <c r="Q13"/>
      <c r="R13"/>
      <c r="S13"/>
      <c r="T13" s="18" t="s">
        <v>822</v>
      </c>
    </row>
    <row r="14" spans="1:20" customFormat="1" hidden="1" x14ac:dyDescent="0.2">
      <c r="A14" s="18" t="s">
        <v>1007</v>
      </c>
      <c r="B14" s="18" t="s">
        <v>1016</v>
      </c>
      <c r="C14" s="18" t="s">
        <v>40</v>
      </c>
      <c r="D14" s="18" t="s">
        <v>751</v>
      </c>
      <c r="E14" s="18" t="s">
        <v>445</v>
      </c>
      <c r="F14" t="s">
        <v>530</v>
      </c>
      <c r="G14" t="s">
        <v>1018</v>
      </c>
      <c r="J14" t="s">
        <v>445</v>
      </c>
      <c r="L14" t="s">
        <v>40</v>
      </c>
      <c r="O14" t="s">
        <v>742</v>
      </c>
      <c r="S14" t="s">
        <v>752</v>
      </c>
      <c r="T14" s="18"/>
    </row>
    <row r="15" spans="1:20" hidden="1" x14ac:dyDescent="0.2">
      <c r="A15" s="18" t="s">
        <v>1007</v>
      </c>
      <c r="B15" s="18" t="s">
        <v>1016</v>
      </c>
      <c r="C15" s="18" t="s">
        <v>40</v>
      </c>
      <c r="D15" s="18" t="s">
        <v>753</v>
      </c>
      <c r="E15" s="18" t="s">
        <v>445</v>
      </c>
      <c r="F15" t="s">
        <v>530</v>
      </c>
      <c r="G15" t="s">
        <v>1018</v>
      </c>
      <c r="H15"/>
      <c r="I15"/>
      <c r="J15" t="s">
        <v>445</v>
      </c>
      <c r="L15" t="s">
        <v>40</v>
      </c>
      <c r="N15"/>
      <c r="O15" t="s">
        <v>745</v>
      </c>
      <c r="P15"/>
      <c r="Q15"/>
      <c r="R15"/>
      <c r="S15" t="s">
        <v>754</v>
      </c>
      <c r="T15" s="18"/>
    </row>
    <row r="16" spans="1:20" hidden="1" x14ac:dyDescent="0.2">
      <c r="A16" s="18" t="s">
        <v>1007</v>
      </c>
      <c r="B16" s="18" t="s">
        <v>1016</v>
      </c>
      <c r="C16" s="18" t="s">
        <v>40</v>
      </c>
      <c r="D16" s="18" t="s">
        <v>755</v>
      </c>
      <c r="E16" s="18" t="s">
        <v>445</v>
      </c>
      <c r="F16" t="s">
        <v>530</v>
      </c>
      <c r="G16" t="s">
        <v>1018</v>
      </c>
      <c r="H16"/>
      <c r="I16"/>
      <c r="J16" t="s">
        <v>445</v>
      </c>
      <c r="L16" t="s">
        <v>40</v>
      </c>
      <c r="N16"/>
      <c r="O16" t="s">
        <v>742</v>
      </c>
      <c r="P16"/>
      <c r="Q16"/>
      <c r="R16"/>
      <c r="S16" t="s">
        <v>756</v>
      </c>
      <c r="T16" s="18"/>
    </row>
    <row r="17" spans="1:20" hidden="1" x14ac:dyDescent="0.2">
      <c r="A17" s="18" t="s">
        <v>1007</v>
      </c>
      <c r="B17" s="18" t="s">
        <v>1016</v>
      </c>
      <c r="C17" s="18" t="s">
        <v>40</v>
      </c>
      <c r="D17" s="18" t="s">
        <v>757</v>
      </c>
      <c r="E17" s="18" t="s">
        <v>445</v>
      </c>
      <c r="F17" t="s">
        <v>530</v>
      </c>
      <c r="G17" t="s">
        <v>1018</v>
      </c>
      <c r="H17"/>
      <c r="I17"/>
      <c r="J17" t="s">
        <v>445</v>
      </c>
      <c r="L17" t="s">
        <v>40</v>
      </c>
      <c r="N17"/>
      <c r="O17" t="s">
        <v>745</v>
      </c>
      <c r="P17"/>
      <c r="Q17"/>
      <c r="R17"/>
      <c r="S17" t="s">
        <v>758</v>
      </c>
      <c r="T17" s="18"/>
    </row>
    <row r="18" spans="1:20" hidden="1" x14ac:dyDescent="0.2">
      <c r="A18" s="18" t="s">
        <v>1007</v>
      </c>
      <c r="B18" s="18" t="s">
        <v>1014</v>
      </c>
      <c r="C18" s="18" t="s">
        <v>40</v>
      </c>
      <c r="D18" s="18" t="s">
        <v>769</v>
      </c>
      <c r="E18" s="18" t="s">
        <v>445</v>
      </c>
      <c r="F18" t="s">
        <v>530</v>
      </c>
      <c r="G18" t="s">
        <v>1018</v>
      </c>
      <c r="H18"/>
      <c r="I18"/>
      <c r="J18" t="s">
        <v>445</v>
      </c>
      <c r="L18" t="s">
        <v>1028</v>
      </c>
      <c r="N18"/>
      <c r="O18" t="s">
        <v>680</v>
      </c>
      <c r="P18"/>
      <c r="Q18"/>
      <c r="R18"/>
      <c r="S18" t="s">
        <v>770</v>
      </c>
      <c r="T18" s="18"/>
    </row>
    <row r="19" spans="1:20" hidden="1" x14ac:dyDescent="0.2">
      <c r="A19" s="18" t="s">
        <v>1007</v>
      </c>
      <c r="B19" s="18" t="s">
        <v>1016</v>
      </c>
      <c r="C19" s="18" t="s">
        <v>40</v>
      </c>
      <c r="D19" s="18" t="s">
        <v>772</v>
      </c>
      <c r="E19" s="18" t="s">
        <v>445</v>
      </c>
      <c r="F19" t="s">
        <v>530</v>
      </c>
      <c r="G19" t="s">
        <v>1018</v>
      </c>
      <c r="H19"/>
      <c r="I19"/>
      <c r="J19" t="s">
        <v>445</v>
      </c>
      <c r="L19" t="s">
        <v>1029</v>
      </c>
      <c r="N19"/>
      <c r="O19" t="s">
        <v>680</v>
      </c>
      <c r="P19"/>
      <c r="Q19"/>
      <c r="R19"/>
      <c r="S19" t="s">
        <v>773</v>
      </c>
      <c r="T19" s="18"/>
    </row>
    <row r="20" spans="1:20" hidden="1" x14ac:dyDescent="0.2">
      <c r="A20" s="18" t="s">
        <v>1007</v>
      </c>
      <c r="B20" s="18" t="s">
        <v>1014</v>
      </c>
      <c r="C20" t="s">
        <v>40</v>
      </c>
      <c r="D20" s="18" t="s">
        <v>777</v>
      </c>
      <c r="E20" s="18" t="s">
        <v>445</v>
      </c>
      <c r="F20" t="s">
        <v>530</v>
      </c>
      <c r="G20" t="s">
        <v>1018</v>
      </c>
      <c r="H20"/>
      <c r="I20"/>
      <c r="J20" t="s">
        <v>445</v>
      </c>
      <c r="K20" t="s">
        <v>820</v>
      </c>
      <c r="L20" t="s">
        <v>1030</v>
      </c>
      <c r="N20"/>
      <c r="O20" t="s">
        <v>680</v>
      </c>
      <c r="P20"/>
      <c r="Q20"/>
      <c r="R20"/>
      <c r="S20"/>
      <c r="T20" s="18"/>
    </row>
    <row r="21" spans="1:20" hidden="1" x14ac:dyDescent="0.2">
      <c r="A21" s="18" t="s">
        <v>1007</v>
      </c>
      <c r="B21" s="18" t="s">
        <v>1014</v>
      </c>
      <c r="C21" t="s">
        <v>40</v>
      </c>
      <c r="D21" s="18" t="s">
        <v>779</v>
      </c>
      <c r="E21" s="18" t="s">
        <v>445</v>
      </c>
      <c r="F21" t="s">
        <v>530</v>
      </c>
      <c r="G21" t="s">
        <v>1018</v>
      </c>
      <c r="H21"/>
      <c r="I21"/>
      <c r="J21" t="s">
        <v>445</v>
      </c>
      <c r="K21" t="s">
        <v>820</v>
      </c>
      <c r="L21" t="s">
        <v>1030</v>
      </c>
      <c r="N21"/>
      <c r="O21" t="s">
        <v>680</v>
      </c>
      <c r="P21"/>
      <c r="Q21"/>
      <c r="R21"/>
      <c r="S21"/>
      <c r="T21" s="18"/>
    </row>
    <row r="22" spans="1:20" customFormat="1" hidden="1" x14ac:dyDescent="0.2">
      <c r="A22" s="18" t="s">
        <v>1007</v>
      </c>
      <c r="B22" s="18" t="s">
        <v>1016</v>
      </c>
      <c r="C22" t="s">
        <v>242</v>
      </c>
      <c r="D22" s="18" t="s">
        <v>782</v>
      </c>
      <c r="E22" s="18" t="s">
        <v>445</v>
      </c>
      <c r="F22" t="s">
        <v>530</v>
      </c>
      <c r="G22" t="s">
        <v>1018</v>
      </c>
      <c r="J22" t="s">
        <v>445</v>
      </c>
      <c r="L22" t="s">
        <v>1031</v>
      </c>
      <c r="O22" t="s">
        <v>745</v>
      </c>
      <c r="S22" t="s">
        <v>783</v>
      </c>
      <c r="T22" s="18"/>
    </row>
    <row r="23" spans="1:20" customFormat="1" hidden="1" x14ac:dyDescent="0.2">
      <c r="A23" s="18" t="s">
        <v>1007</v>
      </c>
      <c r="B23" s="18" t="s">
        <v>1016</v>
      </c>
      <c r="C23" t="s">
        <v>242</v>
      </c>
      <c r="D23" s="18" t="s">
        <v>786</v>
      </c>
      <c r="E23" s="18" t="s">
        <v>445</v>
      </c>
      <c r="F23" t="s">
        <v>530</v>
      </c>
      <c r="G23" t="s">
        <v>1018</v>
      </c>
      <c r="J23" t="s">
        <v>445</v>
      </c>
      <c r="L23" t="s">
        <v>1032</v>
      </c>
      <c r="O23" t="s">
        <v>742</v>
      </c>
      <c r="S23" t="s">
        <v>784</v>
      </c>
      <c r="T23" s="18"/>
    </row>
    <row r="24" spans="1:20" customFormat="1" hidden="1" x14ac:dyDescent="0.2">
      <c r="A24" s="18" t="s">
        <v>1007</v>
      </c>
      <c r="B24" s="18" t="s">
        <v>1016</v>
      </c>
      <c r="C24" t="s">
        <v>242</v>
      </c>
      <c r="D24" s="18" t="s">
        <v>787</v>
      </c>
      <c r="E24" s="18" t="s">
        <v>445</v>
      </c>
      <c r="F24" t="s">
        <v>530</v>
      </c>
      <c r="G24" t="s">
        <v>1018</v>
      </c>
      <c r="J24" t="s">
        <v>445</v>
      </c>
      <c r="L24" t="s">
        <v>1033</v>
      </c>
      <c r="O24" t="s">
        <v>745</v>
      </c>
      <c r="S24" t="s">
        <v>785</v>
      </c>
      <c r="T24" s="18"/>
    </row>
    <row r="25" spans="1:20" hidden="1" x14ac:dyDescent="0.2">
      <c r="A25" s="18" t="s">
        <v>1007</v>
      </c>
      <c r="B25" s="18" t="s">
        <v>1016</v>
      </c>
      <c r="C25" t="s">
        <v>242</v>
      </c>
      <c r="D25" s="18" t="s">
        <v>788</v>
      </c>
      <c r="E25" s="18" t="s">
        <v>445</v>
      </c>
      <c r="F25" t="s">
        <v>530</v>
      </c>
      <c r="G25" t="s">
        <v>1018</v>
      </c>
      <c r="H25"/>
      <c r="I25"/>
      <c r="J25" t="s">
        <v>445</v>
      </c>
      <c r="L25" t="s">
        <v>1031</v>
      </c>
      <c r="N25"/>
      <c r="O25" t="s">
        <v>742</v>
      </c>
      <c r="P25"/>
      <c r="Q25"/>
      <c r="R25"/>
      <c r="S25" t="s">
        <v>789</v>
      </c>
      <c r="T25" s="18"/>
    </row>
    <row r="26" spans="1:20" hidden="1" x14ac:dyDescent="0.2">
      <c r="A26" s="18" t="s">
        <v>1017</v>
      </c>
      <c r="B26" s="18" t="s">
        <v>1014</v>
      </c>
      <c r="C26" t="s">
        <v>40</v>
      </c>
      <c r="D26" s="18" t="s">
        <v>799</v>
      </c>
      <c r="E26" s="18" t="s">
        <v>445</v>
      </c>
      <c r="F26" t="s">
        <v>530</v>
      </c>
      <c r="G26" t="s">
        <v>1018</v>
      </c>
      <c r="H26" t="s">
        <v>44</v>
      </c>
      <c r="I26" s="40" t="s">
        <v>512</v>
      </c>
      <c r="J26" t="s">
        <v>445</v>
      </c>
      <c r="K26" t="s">
        <v>797</v>
      </c>
      <c r="L26" t="s">
        <v>1034</v>
      </c>
      <c r="M26" s="40" t="s">
        <v>805</v>
      </c>
      <c r="N26" t="s">
        <v>83</v>
      </c>
      <c r="O26" t="s">
        <v>460</v>
      </c>
      <c r="P26" t="s">
        <v>681</v>
      </c>
      <c r="Q26" t="s">
        <v>798</v>
      </c>
      <c r="R26"/>
      <c r="S26"/>
      <c r="T26" s="18"/>
    </row>
    <row r="27" spans="1:20" hidden="1" x14ac:dyDescent="0.2">
      <c r="A27" s="18" t="s">
        <v>1007</v>
      </c>
      <c r="B27" s="18" t="s">
        <v>1016</v>
      </c>
      <c r="C27" t="s">
        <v>40</v>
      </c>
      <c r="D27" s="18" t="s">
        <v>803</v>
      </c>
      <c r="E27" s="18" t="s">
        <v>445</v>
      </c>
      <c r="F27" t="s">
        <v>530</v>
      </c>
      <c r="G27" t="s">
        <v>1018</v>
      </c>
      <c r="H27"/>
      <c r="I27"/>
      <c r="J27" t="s">
        <v>445</v>
      </c>
      <c r="K27" t="s">
        <v>800</v>
      </c>
      <c r="L27" t="s">
        <v>1035</v>
      </c>
      <c r="N27"/>
      <c r="O27" t="s">
        <v>680</v>
      </c>
      <c r="P27" t="s">
        <v>681</v>
      </c>
      <c r="Q27" t="s">
        <v>798</v>
      </c>
      <c r="R27"/>
      <c r="S27" t="s">
        <v>802</v>
      </c>
      <c r="T27" s="18"/>
    </row>
    <row r="28" spans="1:20" hidden="1" x14ac:dyDescent="0.2">
      <c r="A28" s="18" t="s">
        <v>1007</v>
      </c>
      <c r="B28" s="18" t="s">
        <v>1014</v>
      </c>
      <c r="C28" t="s">
        <v>40</v>
      </c>
      <c r="D28" s="18" t="s">
        <v>841</v>
      </c>
      <c r="E28" s="18" t="s">
        <v>445</v>
      </c>
      <c r="F28" t="s">
        <v>530</v>
      </c>
      <c r="G28" t="s">
        <v>1018</v>
      </c>
      <c r="H28"/>
      <c r="I28" s="113"/>
      <c r="J28" s="113" t="s">
        <v>445</v>
      </c>
      <c r="K28" s="113"/>
      <c r="L28" s="113" t="s">
        <v>1036</v>
      </c>
      <c r="M28" s="113"/>
      <c r="N28" s="113"/>
      <c r="O28" s="113" t="s">
        <v>680</v>
      </c>
      <c r="P28" t="s">
        <v>681</v>
      </c>
      <c r="Q28" s="14"/>
      <c r="R28" s="113"/>
      <c r="S28" s="113"/>
      <c r="T28" s="18"/>
    </row>
    <row r="29" spans="1:20" customFormat="1" hidden="1" x14ac:dyDescent="0.2">
      <c r="A29" s="18" t="s">
        <v>1007</v>
      </c>
      <c r="B29" s="18" t="s">
        <v>1014</v>
      </c>
      <c r="C29" t="s">
        <v>794</v>
      </c>
      <c r="D29" s="135" t="s">
        <v>977</v>
      </c>
      <c r="E29" s="135" t="s">
        <v>445</v>
      </c>
      <c r="F29" s="135" t="s">
        <v>530</v>
      </c>
      <c r="G29" s="135" t="s">
        <v>1018</v>
      </c>
      <c r="J29" t="s">
        <v>1038</v>
      </c>
      <c r="K29" t="s">
        <v>823</v>
      </c>
      <c r="L29" t="s">
        <v>824</v>
      </c>
      <c r="O29" t="s">
        <v>978</v>
      </c>
      <c r="S29" t="s">
        <v>973</v>
      </c>
      <c r="T29" s="18"/>
    </row>
    <row r="30" spans="1:20" customFormat="1" hidden="1" x14ac:dyDescent="0.2">
      <c r="A30" s="18" t="s">
        <v>1007</v>
      </c>
      <c r="B30" s="18" t="s">
        <v>1014</v>
      </c>
      <c r="C30" t="s">
        <v>794</v>
      </c>
      <c r="D30" s="135" t="s">
        <v>979</v>
      </c>
      <c r="E30" s="135" t="s">
        <v>445</v>
      </c>
      <c r="F30" s="135" t="s">
        <v>530</v>
      </c>
      <c r="G30" s="135" t="s">
        <v>1018</v>
      </c>
      <c r="J30" t="s">
        <v>1039</v>
      </c>
      <c r="K30" t="s">
        <v>825</v>
      </c>
      <c r="L30" t="s">
        <v>826</v>
      </c>
      <c r="O30" t="s">
        <v>978</v>
      </c>
      <c r="S30" t="s">
        <v>973</v>
      </c>
      <c r="T30" s="18"/>
    </row>
    <row r="31" spans="1:20" hidden="1" x14ac:dyDescent="0.2">
      <c r="A31" s="18" t="s">
        <v>1007</v>
      </c>
      <c r="B31" s="18" t="s">
        <v>1014</v>
      </c>
      <c r="C31" t="s">
        <v>794</v>
      </c>
      <c r="D31" t="s">
        <v>980</v>
      </c>
      <c r="E31" t="s">
        <v>445</v>
      </c>
      <c r="F31" t="s">
        <v>530</v>
      </c>
      <c r="G31" t="s">
        <v>1018</v>
      </c>
      <c r="H31"/>
      <c r="I31"/>
      <c r="J31" t="s">
        <v>1040</v>
      </c>
      <c r="L31" t="s">
        <v>1041</v>
      </c>
      <c r="N31"/>
      <c r="O31" t="s">
        <v>978</v>
      </c>
      <c r="P31"/>
      <c r="Q31"/>
      <c r="R31"/>
      <c r="S31" t="s">
        <v>962</v>
      </c>
      <c r="T31" s="18"/>
    </row>
    <row r="32" spans="1:20" hidden="1" x14ac:dyDescent="0.2">
      <c r="A32" s="18" t="s">
        <v>1017</v>
      </c>
      <c r="B32" s="18" t="s">
        <v>1014</v>
      </c>
      <c r="C32" t="s">
        <v>794</v>
      </c>
      <c r="D32" s="135">
        <v>440886253</v>
      </c>
      <c r="E32" s="135" t="s">
        <v>445</v>
      </c>
      <c r="F32" t="s">
        <v>530</v>
      </c>
      <c r="G32" s="135" t="s">
        <v>1018</v>
      </c>
      <c r="H32" t="s">
        <v>45</v>
      </c>
      <c r="I32" s="40" t="s">
        <v>49</v>
      </c>
      <c r="J32" t="s">
        <v>1042</v>
      </c>
      <c r="K32" t="s">
        <v>540</v>
      </c>
      <c r="L32" t="s">
        <v>1043</v>
      </c>
      <c r="M32" s="40" t="s">
        <v>440</v>
      </c>
      <c r="N32" t="s">
        <v>125</v>
      </c>
      <c r="O32" t="s">
        <v>460</v>
      </c>
      <c r="P32" t="s">
        <v>89</v>
      </c>
      <c r="Q32"/>
      <c r="R32"/>
      <c r="S32" t="s">
        <v>1044</v>
      </c>
      <c r="T32" s="18" t="s">
        <v>971</v>
      </c>
    </row>
    <row r="33" spans="1:20" hidden="1" x14ac:dyDescent="0.2">
      <c r="A33" s="18" t="s">
        <v>1017</v>
      </c>
      <c r="B33" s="18" t="s">
        <v>1015</v>
      </c>
      <c r="C33" t="s">
        <v>794</v>
      </c>
      <c r="D33" s="135">
        <v>441164529</v>
      </c>
      <c r="E33" s="135" t="s">
        <v>445</v>
      </c>
      <c r="F33" s="135" t="s">
        <v>530</v>
      </c>
      <c r="G33" s="135" t="s">
        <v>1018</v>
      </c>
      <c r="H33" t="s">
        <v>113</v>
      </c>
      <c r="I33" s="40" t="s">
        <v>49</v>
      </c>
      <c r="J33" t="s">
        <v>1045</v>
      </c>
      <c r="K33" t="s">
        <v>838</v>
      </c>
      <c r="L33" t="s">
        <v>1046</v>
      </c>
      <c r="M33" s="40" t="s">
        <v>598</v>
      </c>
      <c r="N33" t="s">
        <v>112</v>
      </c>
      <c r="O33" t="s">
        <v>460</v>
      </c>
      <c r="P33" t="s">
        <v>89</v>
      </c>
      <c r="Q33"/>
      <c r="R33"/>
      <c r="S33"/>
      <c r="T33" s="18" t="s">
        <v>839</v>
      </c>
    </row>
    <row r="34" spans="1:20" hidden="1" x14ac:dyDescent="0.2">
      <c r="A34" s="18" t="s">
        <v>1007</v>
      </c>
      <c r="B34" s="18" t="s">
        <v>1014</v>
      </c>
      <c r="C34" t="s">
        <v>813</v>
      </c>
      <c r="D34" t="s">
        <v>650</v>
      </c>
      <c r="E34" t="s">
        <v>1047</v>
      </c>
      <c r="F34" t="s">
        <v>614</v>
      </c>
      <c r="G34" s="30" t="s">
        <v>1018</v>
      </c>
      <c r="H34" s="74"/>
      <c r="I34" s="74"/>
      <c r="J34" s="74" t="s">
        <v>1047</v>
      </c>
      <c r="K34" s="18" t="s">
        <v>615</v>
      </c>
      <c r="L34" s="74" t="s">
        <v>1048</v>
      </c>
      <c r="M34" s="74"/>
      <c r="N34" s="74"/>
      <c r="O34" s="74" t="s">
        <v>616</v>
      </c>
      <c r="P34" s="74" t="s">
        <v>617</v>
      </c>
      <c r="Q34"/>
      <c r="R34" s="74"/>
      <c r="S34" s="74"/>
      <c r="T34" s="18"/>
    </row>
    <row r="35" spans="1:20" hidden="1" x14ac:dyDescent="0.2">
      <c r="A35" s="18" t="s">
        <v>1007</v>
      </c>
      <c r="B35" s="18" t="s">
        <v>1016</v>
      </c>
      <c r="C35" t="s">
        <v>813</v>
      </c>
      <c r="D35" t="s">
        <v>811</v>
      </c>
      <c r="E35" t="s">
        <v>1047</v>
      </c>
      <c r="F35" t="s">
        <v>614</v>
      </c>
      <c r="G35" t="s">
        <v>1018</v>
      </c>
      <c r="H35"/>
      <c r="I35"/>
      <c r="J35" t="s">
        <v>1047</v>
      </c>
      <c r="K35" t="s">
        <v>534</v>
      </c>
      <c r="L35" t="s">
        <v>1049</v>
      </c>
      <c r="N35"/>
      <c r="O35" t="s">
        <v>680</v>
      </c>
      <c r="P35" t="s">
        <v>681</v>
      </c>
      <c r="Q35"/>
      <c r="R35"/>
      <c r="S35" t="s">
        <v>684</v>
      </c>
      <c r="T35" s="18"/>
    </row>
    <row r="36" spans="1:20" hidden="1" x14ac:dyDescent="0.2">
      <c r="A36" s="18" t="s">
        <v>1007</v>
      </c>
      <c r="B36" s="18" t="s">
        <v>1016</v>
      </c>
      <c r="C36" t="s">
        <v>813</v>
      </c>
      <c r="D36" t="s">
        <v>809</v>
      </c>
      <c r="E36" t="s">
        <v>1047</v>
      </c>
      <c r="F36" t="s">
        <v>614</v>
      </c>
      <c r="G36" t="s">
        <v>1018</v>
      </c>
      <c r="H36"/>
      <c r="I36"/>
      <c r="J36" t="s">
        <v>1047</v>
      </c>
      <c r="K36" t="s">
        <v>534</v>
      </c>
      <c r="L36" t="s">
        <v>1049</v>
      </c>
      <c r="N36"/>
      <c r="O36" t="s">
        <v>680</v>
      </c>
      <c r="P36" t="s">
        <v>681</v>
      </c>
      <c r="Q36"/>
      <c r="R36"/>
      <c r="S36" t="s">
        <v>682</v>
      </c>
      <c r="T36" s="18"/>
    </row>
    <row r="37" spans="1:20" hidden="1" x14ac:dyDescent="0.2">
      <c r="A37" s="18" t="s">
        <v>1007</v>
      </c>
      <c r="B37" s="18" t="s">
        <v>1016</v>
      </c>
      <c r="C37" t="s">
        <v>813</v>
      </c>
      <c r="D37" t="s">
        <v>810</v>
      </c>
      <c r="E37" t="s">
        <v>1047</v>
      </c>
      <c r="F37" t="s">
        <v>614</v>
      </c>
      <c r="G37" t="s">
        <v>1018</v>
      </c>
      <c r="H37"/>
      <c r="I37"/>
      <c r="J37" t="s">
        <v>1047</v>
      </c>
      <c r="K37" t="s">
        <v>534</v>
      </c>
      <c r="L37" t="s">
        <v>1049</v>
      </c>
      <c r="N37"/>
      <c r="O37" t="s">
        <v>680</v>
      </c>
      <c r="P37" t="s">
        <v>681</v>
      </c>
      <c r="Q37"/>
      <c r="R37"/>
      <c r="S37" t="s">
        <v>683</v>
      </c>
      <c r="T37" s="18"/>
    </row>
    <row r="38" spans="1:20" hidden="1" x14ac:dyDescent="0.2">
      <c r="A38" s="18" t="s">
        <v>1007</v>
      </c>
      <c r="B38" s="18" t="s">
        <v>1016</v>
      </c>
      <c r="C38" t="s">
        <v>813</v>
      </c>
      <c r="D38" t="s">
        <v>812</v>
      </c>
      <c r="E38" t="s">
        <v>1047</v>
      </c>
      <c r="F38" t="s">
        <v>614</v>
      </c>
      <c r="G38" t="s">
        <v>1018</v>
      </c>
      <c r="H38"/>
      <c r="I38"/>
      <c r="J38" t="s">
        <v>1047</v>
      </c>
      <c r="K38" t="s">
        <v>534</v>
      </c>
      <c r="L38" t="s">
        <v>1049</v>
      </c>
      <c r="N38"/>
      <c r="O38" t="s">
        <v>680</v>
      </c>
      <c r="P38" t="s">
        <v>681</v>
      </c>
      <c r="Q38"/>
      <c r="R38"/>
      <c r="S38" t="s">
        <v>685</v>
      </c>
      <c r="T38" s="18"/>
    </row>
    <row r="39" spans="1:20" hidden="1" x14ac:dyDescent="0.2">
      <c r="A39" s="18" t="s">
        <v>1007</v>
      </c>
      <c r="B39" s="18" t="s">
        <v>1016</v>
      </c>
      <c r="C39" t="s">
        <v>734</v>
      </c>
      <c r="D39" t="s">
        <v>739</v>
      </c>
      <c r="E39" t="s">
        <v>1047</v>
      </c>
      <c r="F39" t="s">
        <v>614</v>
      </c>
      <c r="G39" t="s">
        <v>1018</v>
      </c>
      <c r="H39"/>
      <c r="I39"/>
      <c r="J39" t="s">
        <v>1047</v>
      </c>
      <c r="L39" t="s">
        <v>734</v>
      </c>
      <c r="N39"/>
      <c r="O39" t="s">
        <v>680</v>
      </c>
      <c r="P39" t="s">
        <v>681</v>
      </c>
      <c r="Q39"/>
      <c r="R39"/>
      <c r="S39" t="s">
        <v>740</v>
      </c>
      <c r="T39" s="18"/>
    </row>
    <row r="40" spans="1:20" hidden="1" x14ac:dyDescent="0.2">
      <c r="A40" s="18" t="s">
        <v>1017</v>
      </c>
      <c r="B40" s="18" t="s">
        <v>1014</v>
      </c>
      <c r="C40" t="s">
        <v>813</v>
      </c>
      <c r="D40" t="s">
        <v>814</v>
      </c>
      <c r="E40" t="s">
        <v>1047</v>
      </c>
      <c r="F40" t="s">
        <v>614</v>
      </c>
      <c r="G40" t="s">
        <v>1018</v>
      </c>
      <c r="H40" t="s">
        <v>46</v>
      </c>
      <c r="I40" s="40" t="s">
        <v>55</v>
      </c>
      <c r="J40" t="s">
        <v>1047</v>
      </c>
      <c r="K40" t="s">
        <v>815</v>
      </c>
      <c r="L40" t="s">
        <v>1050</v>
      </c>
      <c r="M40" s="100" t="s">
        <v>764</v>
      </c>
      <c r="N40" t="s">
        <v>81</v>
      </c>
      <c r="O40" t="s">
        <v>460</v>
      </c>
      <c r="P40" t="s">
        <v>765</v>
      </c>
      <c r="Q40"/>
      <c r="R40"/>
      <c r="S40"/>
      <c r="T40" s="18"/>
    </row>
    <row r="41" spans="1:20" hidden="1" x14ac:dyDescent="0.2">
      <c r="A41" s="18" t="s">
        <v>1007</v>
      </c>
      <c r="B41" s="18" t="s">
        <v>1016</v>
      </c>
      <c r="C41" t="s">
        <v>40</v>
      </c>
      <c r="D41" t="s">
        <v>759</v>
      </c>
      <c r="E41" t="s">
        <v>1047</v>
      </c>
      <c r="F41" t="s">
        <v>614</v>
      </c>
      <c r="G41" t="s">
        <v>1018</v>
      </c>
      <c r="H41"/>
      <c r="I41"/>
      <c r="J41" t="s">
        <v>1047</v>
      </c>
      <c r="L41" t="s">
        <v>40</v>
      </c>
      <c r="N41"/>
      <c r="O41" t="s">
        <v>742</v>
      </c>
      <c r="P41"/>
      <c r="Q41"/>
      <c r="R41"/>
      <c r="S41" t="s">
        <v>760</v>
      </c>
      <c r="T41" s="18"/>
    </row>
    <row r="42" spans="1:20" hidden="1" x14ac:dyDescent="0.2">
      <c r="A42" s="18" t="s">
        <v>1007</v>
      </c>
      <c r="B42" s="18" t="s">
        <v>1016</v>
      </c>
      <c r="C42" t="s">
        <v>40</v>
      </c>
      <c r="D42" t="s">
        <v>761</v>
      </c>
      <c r="E42" t="s">
        <v>1047</v>
      </c>
      <c r="F42" t="s">
        <v>614</v>
      </c>
      <c r="G42" t="s">
        <v>1018</v>
      </c>
      <c r="H42"/>
      <c r="I42"/>
      <c r="J42" t="s">
        <v>1047</v>
      </c>
      <c r="L42" t="s">
        <v>40</v>
      </c>
      <c r="N42"/>
      <c r="O42" t="s">
        <v>745</v>
      </c>
      <c r="P42"/>
      <c r="Q42"/>
      <c r="R42"/>
      <c r="S42" t="s">
        <v>762</v>
      </c>
      <c r="T42" s="18"/>
    </row>
    <row r="43" spans="1:20" hidden="1" x14ac:dyDescent="0.2">
      <c r="A43" s="18" t="s">
        <v>1017</v>
      </c>
      <c r="B43" s="18" t="s">
        <v>1016</v>
      </c>
      <c r="C43" t="s">
        <v>40</v>
      </c>
      <c r="D43" t="s">
        <v>974</v>
      </c>
      <c r="E43" t="s">
        <v>1047</v>
      </c>
      <c r="F43" t="s">
        <v>614</v>
      </c>
      <c r="G43" t="s">
        <v>1018</v>
      </c>
      <c r="H43" t="s">
        <v>46</v>
      </c>
      <c r="I43" s="40" t="s">
        <v>53</v>
      </c>
      <c r="J43" t="s">
        <v>1047</v>
      </c>
      <c r="L43" t="s">
        <v>1051</v>
      </c>
      <c r="M43" s="40" t="s">
        <v>763</v>
      </c>
      <c r="N43" t="s">
        <v>50</v>
      </c>
      <c r="O43" t="s">
        <v>460</v>
      </c>
      <c r="P43" t="s">
        <v>766</v>
      </c>
      <c r="Q43"/>
      <c r="R43"/>
      <c r="S43"/>
      <c r="T43" s="18"/>
    </row>
    <row r="44" spans="1:20" hidden="1" x14ac:dyDescent="0.2">
      <c r="A44" s="18" t="s">
        <v>1007</v>
      </c>
      <c r="B44" s="18" t="s">
        <v>1014</v>
      </c>
      <c r="C44" t="s">
        <v>40</v>
      </c>
      <c r="D44" t="s">
        <v>771</v>
      </c>
      <c r="E44" t="s">
        <v>1047</v>
      </c>
      <c r="F44" t="s">
        <v>614</v>
      </c>
      <c r="G44" t="s">
        <v>1018</v>
      </c>
      <c r="H44"/>
      <c r="I44"/>
      <c r="J44" t="s">
        <v>1047</v>
      </c>
      <c r="L44" t="s">
        <v>1052</v>
      </c>
      <c r="N44"/>
      <c r="O44" t="s">
        <v>680</v>
      </c>
      <c r="P44"/>
      <c r="Q44"/>
      <c r="R44"/>
      <c r="S44"/>
      <c r="T44" s="18"/>
    </row>
    <row r="45" spans="1:20" hidden="1" x14ac:dyDescent="0.2">
      <c r="A45" s="18" t="s">
        <v>1017</v>
      </c>
      <c r="B45" s="18" t="s">
        <v>1016</v>
      </c>
      <c r="C45" t="s">
        <v>794</v>
      </c>
      <c r="D45" t="s">
        <v>808</v>
      </c>
      <c r="E45" t="s">
        <v>1027</v>
      </c>
      <c r="F45" t="s">
        <v>532</v>
      </c>
      <c r="G45" t="s">
        <v>1037</v>
      </c>
      <c r="H45" t="s">
        <v>533</v>
      </c>
      <c r="I45" s="40" t="s">
        <v>511</v>
      </c>
      <c r="J45" t="s">
        <v>32</v>
      </c>
      <c r="K45" t="s">
        <v>821</v>
      </c>
      <c r="L45" t="s">
        <v>467</v>
      </c>
      <c r="M45" s="40" t="s">
        <v>115</v>
      </c>
      <c r="N45" t="s">
        <v>62</v>
      </c>
      <c r="O45" t="s">
        <v>460</v>
      </c>
      <c r="P45" t="s">
        <v>439</v>
      </c>
      <c r="Q45" t="s">
        <v>704</v>
      </c>
      <c r="R45"/>
      <c r="S45"/>
      <c r="T45" s="18" t="s">
        <v>441</v>
      </c>
    </row>
    <row r="46" spans="1:20" hidden="1" x14ac:dyDescent="0.2">
      <c r="A46" s="18" t="s">
        <v>1017</v>
      </c>
      <c r="B46" s="18" t="s">
        <v>1016</v>
      </c>
      <c r="C46" t="s">
        <v>794</v>
      </c>
      <c r="D46" t="s">
        <v>523</v>
      </c>
      <c r="E46" t="s">
        <v>1027</v>
      </c>
      <c r="F46" t="s">
        <v>532</v>
      </c>
      <c r="G46" t="s">
        <v>1037</v>
      </c>
      <c r="H46" t="s">
        <v>533</v>
      </c>
      <c r="I46" s="40" t="s">
        <v>81</v>
      </c>
      <c r="J46" t="s">
        <v>1023</v>
      </c>
      <c r="K46" t="s">
        <v>548</v>
      </c>
      <c r="L46" t="s">
        <v>1026</v>
      </c>
      <c r="M46" t="s">
        <v>68</v>
      </c>
      <c r="N46" t="s">
        <v>609</v>
      </c>
      <c r="O46" t="s">
        <v>460</v>
      </c>
      <c r="P46" t="s">
        <v>85</v>
      </c>
      <c r="Q46" t="s">
        <v>704</v>
      </c>
      <c r="R46" s="40"/>
      <c r="S46"/>
      <c r="T46" s="18"/>
    </row>
    <row r="47" spans="1:20" x14ac:dyDescent="0.2">
      <c r="A47" s="18" t="s">
        <v>1017</v>
      </c>
      <c r="B47" s="18" t="s">
        <v>1014</v>
      </c>
      <c r="C47" t="s">
        <v>1081</v>
      </c>
      <c r="D47" t="s">
        <v>638</v>
      </c>
      <c r="E47" t="s">
        <v>1027</v>
      </c>
      <c r="F47" t="s">
        <v>532</v>
      </c>
      <c r="G47" t="s">
        <v>1037</v>
      </c>
      <c r="H47" t="s">
        <v>533</v>
      </c>
      <c r="I47" s="40" t="s">
        <v>472</v>
      </c>
      <c r="J47" t="s">
        <v>1025</v>
      </c>
      <c r="K47" t="s">
        <v>623</v>
      </c>
      <c r="L47" t="s">
        <v>649</v>
      </c>
      <c r="M47" s="40" t="s">
        <v>639</v>
      </c>
      <c r="N47" t="s">
        <v>49</v>
      </c>
      <c r="O47" t="s">
        <v>460</v>
      </c>
      <c r="P47" t="s">
        <v>89</v>
      </c>
      <c r="Q47" t="s">
        <v>715</v>
      </c>
      <c r="R47" t="s">
        <v>796</v>
      </c>
      <c r="S47" t="s">
        <v>640</v>
      </c>
      <c r="T47" s="18" t="s">
        <v>625</v>
      </c>
    </row>
    <row r="48" spans="1:20" hidden="1" x14ac:dyDescent="0.2">
      <c r="A48" s="18" t="s">
        <v>1017</v>
      </c>
      <c r="B48" s="18" t="s">
        <v>1014</v>
      </c>
      <c r="C48" t="s">
        <v>794</v>
      </c>
      <c r="D48" t="s">
        <v>643</v>
      </c>
      <c r="E48" t="s">
        <v>1027</v>
      </c>
      <c r="F48" t="s">
        <v>532</v>
      </c>
      <c r="G48" t="s">
        <v>1037</v>
      </c>
      <c r="H48" t="s">
        <v>533</v>
      </c>
      <c r="I48" s="40" t="s">
        <v>51</v>
      </c>
      <c r="J48" t="s">
        <v>1027</v>
      </c>
      <c r="K48" t="s">
        <v>599</v>
      </c>
      <c r="L48" t="s">
        <v>649</v>
      </c>
      <c r="M48" s="40" t="s">
        <v>641</v>
      </c>
      <c r="N48" t="s">
        <v>50</v>
      </c>
      <c r="O48" t="s">
        <v>460</v>
      </c>
      <c r="P48" t="s">
        <v>89</v>
      </c>
      <c r="Q48" t="s">
        <v>704</v>
      </c>
      <c r="R48"/>
      <c r="S48"/>
      <c r="T48" s="18" t="s">
        <v>705</v>
      </c>
    </row>
    <row r="49" spans="1:20" hidden="1" x14ac:dyDescent="0.2">
      <c r="A49" s="18" t="s">
        <v>1017</v>
      </c>
      <c r="B49" s="18" t="s">
        <v>1015</v>
      </c>
      <c r="C49" s="18" t="s">
        <v>42</v>
      </c>
      <c r="D49" s="30">
        <v>140400</v>
      </c>
      <c r="E49" s="30" t="s">
        <v>1027</v>
      </c>
      <c r="F49" s="30" t="s">
        <v>532</v>
      </c>
      <c r="G49" t="s">
        <v>1037</v>
      </c>
      <c r="H49" s="18" t="s">
        <v>533</v>
      </c>
      <c r="I49" s="33" t="s">
        <v>100</v>
      </c>
      <c r="J49" s="18" t="s">
        <v>1053</v>
      </c>
      <c r="K49" s="18"/>
      <c r="L49" s="18" t="s">
        <v>1018</v>
      </c>
      <c r="M49" s="33" t="s">
        <v>98</v>
      </c>
      <c r="N49" s="18" t="s">
        <v>112</v>
      </c>
      <c r="O49" s="18" t="s">
        <v>460</v>
      </c>
      <c r="P49" t="s">
        <v>89</v>
      </c>
      <c r="Q49" t="s">
        <v>704</v>
      </c>
      <c r="R49" s="18"/>
      <c r="S49" s="18"/>
      <c r="T49" s="18" t="s">
        <v>816</v>
      </c>
    </row>
    <row r="50" spans="1:20" hidden="1" x14ac:dyDescent="0.2">
      <c r="A50" s="18" t="s">
        <v>1017</v>
      </c>
      <c r="B50" s="18" t="s">
        <v>1015</v>
      </c>
      <c r="C50" t="s">
        <v>42</v>
      </c>
      <c r="D50" s="30">
        <v>217672</v>
      </c>
      <c r="E50" s="30" t="s">
        <v>1027</v>
      </c>
      <c r="F50" s="40" t="s">
        <v>532</v>
      </c>
      <c r="G50" t="s">
        <v>1037</v>
      </c>
      <c r="H50" s="18" t="s">
        <v>533</v>
      </c>
      <c r="I50" s="33" t="s">
        <v>100</v>
      </c>
      <c r="J50" t="s">
        <v>1053</v>
      </c>
      <c r="K50" s="18"/>
      <c r="L50" t="s">
        <v>1018</v>
      </c>
      <c r="M50" s="33" t="s">
        <v>98</v>
      </c>
      <c r="N50" t="s">
        <v>112</v>
      </c>
      <c r="O50" t="s">
        <v>460</v>
      </c>
      <c r="P50" t="s">
        <v>89</v>
      </c>
      <c r="Q50" t="s">
        <v>704</v>
      </c>
      <c r="R50" s="40"/>
      <c r="S50"/>
      <c r="T50" s="18" t="s">
        <v>817</v>
      </c>
    </row>
    <row r="51" spans="1:20" hidden="1" x14ac:dyDescent="0.2">
      <c r="A51" s="18" t="s">
        <v>1017</v>
      </c>
      <c r="B51" s="18" t="s">
        <v>1014</v>
      </c>
      <c r="C51" t="s">
        <v>794</v>
      </c>
      <c r="D51" s="135">
        <v>440693947</v>
      </c>
      <c r="E51" s="135" t="s">
        <v>1027</v>
      </c>
      <c r="F51" s="135" t="s">
        <v>532</v>
      </c>
      <c r="G51" s="135" t="s">
        <v>1037</v>
      </c>
      <c r="H51" t="s">
        <v>533</v>
      </c>
      <c r="I51" s="40" t="s">
        <v>60</v>
      </c>
      <c r="J51" t="s">
        <v>1042</v>
      </c>
      <c r="K51" t="s">
        <v>540</v>
      </c>
      <c r="L51" t="s">
        <v>1043</v>
      </c>
      <c r="M51" s="40" t="s">
        <v>440</v>
      </c>
      <c r="N51" t="s">
        <v>51</v>
      </c>
      <c r="O51" t="s">
        <v>460</v>
      </c>
      <c r="P51" t="s">
        <v>89</v>
      </c>
      <c r="Q51"/>
      <c r="R51"/>
      <c r="S51"/>
      <c r="T51" s="18" t="s">
        <v>970</v>
      </c>
    </row>
    <row r="52" spans="1:20" hidden="1" x14ac:dyDescent="0.2">
      <c r="A52" s="18" t="s">
        <v>1017</v>
      </c>
      <c r="B52" s="18" t="s">
        <v>1014</v>
      </c>
      <c r="C52" t="s">
        <v>794</v>
      </c>
      <c r="D52" t="s">
        <v>590</v>
      </c>
      <c r="E52" t="s">
        <v>1047</v>
      </c>
      <c r="F52" t="s">
        <v>534</v>
      </c>
      <c r="G52" t="s">
        <v>1049</v>
      </c>
      <c r="H52" t="s">
        <v>536</v>
      </c>
      <c r="I52" s="40" t="s">
        <v>472</v>
      </c>
      <c r="J52" t="s">
        <v>1019</v>
      </c>
      <c r="K52" t="s">
        <v>544</v>
      </c>
      <c r="L52" t="s">
        <v>1020</v>
      </c>
      <c r="M52" t="s">
        <v>106</v>
      </c>
      <c r="N52" t="s">
        <v>472</v>
      </c>
      <c r="O52" t="s">
        <v>460</v>
      </c>
      <c r="P52" t="s">
        <v>89</v>
      </c>
      <c r="Q52" t="s">
        <v>704</v>
      </c>
      <c r="R52"/>
      <c r="S52"/>
      <c r="T52" s="18"/>
    </row>
    <row r="53" spans="1:20" hidden="1" x14ac:dyDescent="0.2">
      <c r="A53" s="18" t="s">
        <v>1017</v>
      </c>
      <c r="B53" s="18" t="s">
        <v>1016</v>
      </c>
      <c r="C53" t="s">
        <v>591</v>
      </c>
      <c r="D53" t="s">
        <v>592</v>
      </c>
      <c r="E53" t="s">
        <v>1047</v>
      </c>
      <c r="F53" t="s">
        <v>534</v>
      </c>
      <c r="G53" t="s">
        <v>1049</v>
      </c>
      <c r="H53" t="s">
        <v>536</v>
      </c>
      <c r="I53" s="40" t="s">
        <v>49</v>
      </c>
      <c r="J53" t="s">
        <v>1047</v>
      </c>
      <c r="K53" t="s">
        <v>552</v>
      </c>
      <c r="L53" t="s">
        <v>1018</v>
      </c>
      <c r="M53" s="40" t="s">
        <v>46</v>
      </c>
      <c r="N53" t="s">
        <v>49</v>
      </c>
      <c r="O53" t="s">
        <v>460</v>
      </c>
      <c r="P53" t="s">
        <v>89</v>
      </c>
      <c r="Q53" t="s">
        <v>704</v>
      </c>
      <c r="R53"/>
      <c r="S53" t="s">
        <v>596</v>
      </c>
      <c r="T53" s="18"/>
    </row>
    <row r="54" spans="1:20" hidden="1" x14ac:dyDescent="0.2">
      <c r="A54" s="18" t="s">
        <v>1017</v>
      </c>
      <c r="B54" s="18" t="s">
        <v>1015</v>
      </c>
      <c r="C54" s="18" t="s">
        <v>794</v>
      </c>
      <c r="D54" s="18" t="s">
        <v>525</v>
      </c>
      <c r="E54" s="18" t="s">
        <v>1047</v>
      </c>
      <c r="F54" s="18" t="s">
        <v>534</v>
      </c>
      <c r="G54" t="s">
        <v>1049</v>
      </c>
      <c r="H54" s="18" t="s">
        <v>536</v>
      </c>
      <c r="I54" s="32" t="s">
        <v>51</v>
      </c>
      <c r="J54" s="32" t="s">
        <v>21</v>
      </c>
      <c r="K54" s="18" t="s">
        <v>537</v>
      </c>
      <c r="L54" s="18" t="s">
        <v>1021</v>
      </c>
      <c r="M54" s="18" t="s">
        <v>486</v>
      </c>
      <c r="N54" s="18" t="s">
        <v>132</v>
      </c>
      <c r="O54" s="18" t="s">
        <v>460</v>
      </c>
      <c r="P54" t="s">
        <v>89</v>
      </c>
      <c r="Q54" t="s">
        <v>716</v>
      </c>
      <c r="R54" s="32" t="s">
        <v>714</v>
      </c>
      <c r="S54" s="152"/>
      <c r="T54" s="18" t="s">
        <v>554</v>
      </c>
    </row>
    <row r="55" spans="1:20" hidden="1" x14ac:dyDescent="0.2">
      <c r="A55" s="30" t="s">
        <v>1017</v>
      </c>
      <c r="B55" s="30" t="s">
        <v>1014</v>
      </c>
      <c r="C55" s="49" t="s">
        <v>794</v>
      </c>
      <c r="D55" s="49" t="s">
        <v>605</v>
      </c>
      <c r="E55" s="49" t="s">
        <v>1047</v>
      </c>
      <c r="F55" s="49" t="s">
        <v>534</v>
      </c>
      <c r="G55" t="s">
        <v>1049</v>
      </c>
      <c r="H55" s="50" t="s">
        <v>536</v>
      </c>
      <c r="I55" s="51" t="s">
        <v>511</v>
      </c>
      <c r="J55" s="50" t="s">
        <v>1047</v>
      </c>
      <c r="K55" s="18" t="s">
        <v>606</v>
      </c>
      <c r="L55" s="18" t="s">
        <v>468</v>
      </c>
      <c r="M55" s="51" t="s">
        <v>600</v>
      </c>
      <c r="N55" s="50" t="s">
        <v>511</v>
      </c>
      <c r="O55" s="50" t="s">
        <v>460</v>
      </c>
      <c r="P55" s="141" t="s">
        <v>602</v>
      </c>
      <c r="Q55" t="s">
        <v>704</v>
      </c>
      <c r="R55" s="50"/>
      <c r="S55" s="50"/>
      <c r="T55" s="18"/>
    </row>
    <row r="56" spans="1:20" x14ac:dyDescent="0.2">
      <c r="A56" s="30" t="s">
        <v>1017</v>
      </c>
      <c r="B56" s="30" t="s">
        <v>1014</v>
      </c>
      <c r="C56" t="s">
        <v>1081</v>
      </c>
      <c r="D56" t="s">
        <v>721</v>
      </c>
      <c r="E56" t="s">
        <v>1047</v>
      </c>
      <c r="F56" t="s">
        <v>534</v>
      </c>
      <c r="G56" t="s">
        <v>1049</v>
      </c>
      <c r="H56" t="s">
        <v>536</v>
      </c>
      <c r="I56" s="40" t="s">
        <v>82</v>
      </c>
      <c r="J56" t="s">
        <v>1025</v>
      </c>
      <c r="K56" t="s">
        <v>623</v>
      </c>
      <c r="L56" t="s">
        <v>649</v>
      </c>
      <c r="M56" s="40" t="s">
        <v>639</v>
      </c>
      <c r="N56" s="40" t="s">
        <v>50</v>
      </c>
      <c r="O56" t="s">
        <v>460</v>
      </c>
      <c r="P56" t="s">
        <v>89</v>
      </c>
      <c r="Q56" t="s">
        <v>714</v>
      </c>
      <c r="R56" t="s">
        <v>796</v>
      </c>
      <c r="S56"/>
      <c r="T56" s="18" t="s">
        <v>625</v>
      </c>
    </row>
    <row r="57" spans="1:20" hidden="1" x14ac:dyDescent="0.2">
      <c r="A57" s="18" t="s">
        <v>1007</v>
      </c>
      <c r="B57" s="18" t="s">
        <v>1016</v>
      </c>
      <c r="C57" t="s">
        <v>734</v>
      </c>
      <c r="D57" t="s">
        <v>735</v>
      </c>
      <c r="E57" t="s">
        <v>1047</v>
      </c>
      <c r="F57" t="s">
        <v>534</v>
      </c>
      <c r="G57" t="s">
        <v>1049</v>
      </c>
      <c r="H57"/>
      <c r="I57"/>
      <c r="J57" t="s">
        <v>1047</v>
      </c>
      <c r="L57" t="s">
        <v>734</v>
      </c>
      <c r="N57"/>
      <c r="O57" t="s">
        <v>680</v>
      </c>
      <c r="P57" t="s">
        <v>681</v>
      </c>
      <c r="Q57"/>
      <c r="R57"/>
      <c r="S57" t="s">
        <v>684</v>
      </c>
      <c r="T57" s="18"/>
    </row>
    <row r="58" spans="1:20" hidden="1" x14ac:dyDescent="0.2">
      <c r="A58" s="18" t="s">
        <v>1007</v>
      </c>
      <c r="B58" s="18" t="s">
        <v>1016</v>
      </c>
      <c r="C58" t="s">
        <v>734</v>
      </c>
      <c r="D58" t="s">
        <v>736</v>
      </c>
      <c r="E58" t="s">
        <v>1047</v>
      </c>
      <c r="F58" t="s">
        <v>534</v>
      </c>
      <c r="G58" t="s">
        <v>1049</v>
      </c>
      <c r="H58"/>
      <c r="I58"/>
      <c r="J58" t="s">
        <v>1047</v>
      </c>
      <c r="L58" t="s">
        <v>734</v>
      </c>
      <c r="N58"/>
      <c r="O58" t="s">
        <v>680</v>
      </c>
      <c r="P58" t="s">
        <v>681</v>
      </c>
      <c r="Q58"/>
      <c r="R58"/>
      <c r="S58" t="s">
        <v>682</v>
      </c>
      <c r="T58" s="18"/>
    </row>
    <row r="59" spans="1:20" hidden="1" x14ac:dyDescent="0.2">
      <c r="A59" s="18" t="s">
        <v>1007</v>
      </c>
      <c r="B59" s="18" t="s">
        <v>1016</v>
      </c>
      <c r="C59" t="s">
        <v>734</v>
      </c>
      <c r="D59" t="s">
        <v>737</v>
      </c>
      <c r="E59" t="s">
        <v>1047</v>
      </c>
      <c r="F59" t="s">
        <v>534</v>
      </c>
      <c r="G59" t="s">
        <v>1049</v>
      </c>
      <c r="H59"/>
      <c r="I59"/>
      <c r="J59" t="s">
        <v>1047</v>
      </c>
      <c r="L59" t="s">
        <v>734</v>
      </c>
      <c r="N59"/>
      <c r="O59" t="s">
        <v>680</v>
      </c>
      <c r="P59" t="s">
        <v>681</v>
      </c>
      <c r="Q59"/>
      <c r="R59"/>
      <c r="S59" t="s">
        <v>683</v>
      </c>
      <c r="T59" s="18"/>
    </row>
    <row r="60" spans="1:20" hidden="1" x14ac:dyDescent="0.2">
      <c r="A60" s="18" t="s">
        <v>1007</v>
      </c>
      <c r="B60" s="18" t="s">
        <v>1016</v>
      </c>
      <c r="C60" t="s">
        <v>734</v>
      </c>
      <c r="D60" t="s">
        <v>738</v>
      </c>
      <c r="E60" t="s">
        <v>1047</v>
      </c>
      <c r="F60" t="s">
        <v>534</v>
      </c>
      <c r="G60" t="s">
        <v>1049</v>
      </c>
      <c r="H60"/>
      <c r="I60"/>
      <c r="J60" t="s">
        <v>1047</v>
      </c>
      <c r="L60" t="s">
        <v>734</v>
      </c>
      <c r="N60"/>
      <c r="O60" t="s">
        <v>680</v>
      </c>
      <c r="P60" t="s">
        <v>681</v>
      </c>
      <c r="Q60"/>
      <c r="R60"/>
      <c r="S60" t="s">
        <v>685</v>
      </c>
      <c r="T60" s="18"/>
    </row>
    <row r="61" spans="1:20" hidden="1" x14ac:dyDescent="0.2">
      <c r="A61" s="18" t="s">
        <v>1007</v>
      </c>
      <c r="B61" s="18" t="s">
        <v>1016</v>
      </c>
      <c r="C61" t="s">
        <v>40</v>
      </c>
      <c r="D61" t="s">
        <v>741</v>
      </c>
      <c r="E61" t="s">
        <v>21</v>
      </c>
      <c r="F61" t="s">
        <v>541</v>
      </c>
      <c r="G61" t="s">
        <v>1057</v>
      </c>
      <c r="H61"/>
      <c r="I61"/>
      <c r="J61" t="s">
        <v>21</v>
      </c>
      <c r="L61" t="s">
        <v>40</v>
      </c>
      <c r="N61"/>
      <c r="O61" t="s">
        <v>742</v>
      </c>
      <c r="P61"/>
      <c r="Q61"/>
      <c r="R61"/>
      <c r="S61" t="s">
        <v>743</v>
      </c>
      <c r="T61" s="18"/>
    </row>
    <row r="62" spans="1:20" hidden="1" x14ac:dyDescent="0.2">
      <c r="A62" s="18" t="s">
        <v>1007</v>
      </c>
      <c r="B62" s="18" t="s">
        <v>1016</v>
      </c>
      <c r="C62" t="s">
        <v>40</v>
      </c>
      <c r="D62" t="s">
        <v>744</v>
      </c>
      <c r="E62" t="s">
        <v>21</v>
      </c>
      <c r="F62" t="s">
        <v>541</v>
      </c>
      <c r="G62" t="s">
        <v>1057</v>
      </c>
      <c r="H62"/>
      <c r="I62"/>
      <c r="J62" t="s">
        <v>21</v>
      </c>
      <c r="L62" t="s">
        <v>40</v>
      </c>
      <c r="N62"/>
      <c r="O62" t="s">
        <v>745</v>
      </c>
      <c r="P62"/>
      <c r="Q62"/>
      <c r="R62"/>
      <c r="S62" t="s">
        <v>746</v>
      </c>
      <c r="T62" s="18"/>
    </row>
    <row r="63" spans="1:20" hidden="1" x14ac:dyDescent="0.2">
      <c r="A63" s="18" t="s">
        <v>1007</v>
      </c>
      <c r="B63" s="18" t="s">
        <v>1016</v>
      </c>
      <c r="C63" t="s">
        <v>40</v>
      </c>
      <c r="D63" t="s">
        <v>780</v>
      </c>
      <c r="E63" t="s">
        <v>21</v>
      </c>
      <c r="F63" t="s">
        <v>541</v>
      </c>
      <c r="G63" t="s">
        <v>1057</v>
      </c>
      <c r="H63"/>
      <c r="I63"/>
      <c r="J63" t="s">
        <v>21</v>
      </c>
      <c r="L63" t="s">
        <v>40</v>
      </c>
      <c r="N63"/>
      <c r="O63" t="s">
        <v>742</v>
      </c>
      <c r="P63"/>
      <c r="Q63"/>
      <c r="R63"/>
      <c r="S63" t="s">
        <v>781</v>
      </c>
      <c r="T63" s="18"/>
    </row>
    <row r="64" spans="1:20" hidden="1" x14ac:dyDescent="0.2">
      <c r="A64" s="18" t="s">
        <v>1017</v>
      </c>
      <c r="B64" s="18" t="s">
        <v>1016</v>
      </c>
      <c r="C64" s="18" t="s">
        <v>19</v>
      </c>
      <c r="D64" s="30" t="s">
        <v>976</v>
      </c>
      <c r="E64" s="30" t="s">
        <v>21</v>
      </c>
      <c r="F64" s="30" t="s">
        <v>537</v>
      </c>
      <c r="G64" s="18" t="s">
        <v>1021</v>
      </c>
      <c r="H64" s="18" t="s">
        <v>486</v>
      </c>
      <c r="I64" s="33" t="s">
        <v>60</v>
      </c>
      <c r="J64" s="18" t="s">
        <v>1058</v>
      </c>
      <c r="K64" s="18"/>
      <c r="L64" s="18" t="s">
        <v>467</v>
      </c>
      <c r="M64" s="32" t="s">
        <v>78</v>
      </c>
      <c r="N64" s="18" t="s">
        <v>492</v>
      </c>
      <c r="O64" s="18" t="s">
        <v>460</v>
      </c>
      <c r="P64" s="141" t="s">
        <v>975</v>
      </c>
      <c r="Q64" t="s">
        <v>704</v>
      </c>
      <c r="R64" s="18"/>
      <c r="S64" s="18"/>
      <c r="T64" s="18"/>
    </row>
    <row r="65" spans="1:20" hidden="1" x14ac:dyDescent="0.2">
      <c r="A65" s="34" t="s">
        <v>1017</v>
      </c>
      <c r="B65" s="34" t="s">
        <v>1016</v>
      </c>
      <c r="C65" s="34" t="s">
        <v>19</v>
      </c>
      <c r="D65" s="35" t="s">
        <v>482</v>
      </c>
      <c r="E65" s="35" t="s">
        <v>21</v>
      </c>
      <c r="F65" s="35" t="s">
        <v>537</v>
      </c>
      <c r="G65" s="18" t="s">
        <v>1021</v>
      </c>
      <c r="H65" s="18" t="s">
        <v>486</v>
      </c>
      <c r="I65" s="65" t="s">
        <v>112</v>
      </c>
      <c r="J65" s="34" t="s">
        <v>1059</v>
      </c>
      <c r="K65" s="34"/>
      <c r="L65" s="34" t="s">
        <v>19</v>
      </c>
      <c r="M65" s="65" t="s">
        <v>610</v>
      </c>
      <c r="N65" s="34" t="s">
        <v>60</v>
      </c>
      <c r="O65" s="34" t="s">
        <v>460</v>
      </c>
      <c r="P65" s="141" t="s">
        <v>85</v>
      </c>
      <c r="Q65" t="s">
        <v>704</v>
      </c>
      <c r="R65" s="34"/>
      <c r="S65" s="18"/>
      <c r="T65" s="18"/>
    </row>
    <row r="66" spans="1:20" customFormat="1" hidden="1" x14ac:dyDescent="0.2">
      <c r="A66" s="18" t="s">
        <v>1017</v>
      </c>
      <c r="B66" s="18" t="s">
        <v>1016</v>
      </c>
      <c r="C66" t="s">
        <v>40</v>
      </c>
      <c r="D66" s="135" t="s">
        <v>981</v>
      </c>
      <c r="E66" s="135" t="s">
        <v>21</v>
      </c>
      <c r="F66" s="135" t="s">
        <v>537</v>
      </c>
      <c r="G66" s="18" t="s">
        <v>1021</v>
      </c>
      <c r="H66" s="135" t="s">
        <v>486</v>
      </c>
      <c r="I66" s="40" t="s">
        <v>479</v>
      </c>
      <c r="J66" t="s">
        <v>21</v>
      </c>
      <c r="K66" t="s">
        <v>541</v>
      </c>
      <c r="L66" t="s">
        <v>1057</v>
      </c>
      <c r="M66" s="40" t="s">
        <v>80</v>
      </c>
      <c r="N66" t="s">
        <v>50</v>
      </c>
      <c r="O66" t="s">
        <v>460</v>
      </c>
      <c r="P66" s="141" t="s">
        <v>85</v>
      </c>
      <c r="Q66" t="s">
        <v>704</v>
      </c>
      <c r="T66" s="18"/>
    </row>
    <row r="67" spans="1:20" hidden="1" x14ac:dyDescent="0.2">
      <c r="A67" s="18" t="s">
        <v>1017</v>
      </c>
      <c r="B67" s="18" t="s">
        <v>1016</v>
      </c>
      <c r="C67" t="s">
        <v>591</v>
      </c>
      <c r="D67" s="135" t="s">
        <v>982</v>
      </c>
      <c r="E67" s="135" t="s">
        <v>1047</v>
      </c>
      <c r="F67" s="135" t="s">
        <v>534</v>
      </c>
      <c r="G67" t="s">
        <v>1049</v>
      </c>
      <c r="H67" t="s">
        <v>536</v>
      </c>
      <c r="I67"/>
      <c r="J67" t="s">
        <v>1047</v>
      </c>
      <c r="K67" t="s">
        <v>614</v>
      </c>
      <c r="L67" t="s">
        <v>1018</v>
      </c>
      <c r="M67" t="s">
        <v>46</v>
      </c>
      <c r="N67"/>
      <c r="O67" t="s">
        <v>460</v>
      </c>
      <c r="P67" t="s">
        <v>89</v>
      </c>
      <c r="Q67"/>
      <c r="R67"/>
      <c r="S67" t="s">
        <v>983</v>
      </c>
      <c r="T67" s="18"/>
    </row>
    <row r="68" spans="1:20" hidden="1" x14ac:dyDescent="0.2">
      <c r="A68" s="18" t="s">
        <v>1017</v>
      </c>
      <c r="B68" s="18" t="s">
        <v>1014</v>
      </c>
      <c r="C68" t="s">
        <v>40</v>
      </c>
      <c r="D68" s="135" t="s">
        <v>984</v>
      </c>
      <c r="E68" s="135" t="s">
        <v>445</v>
      </c>
      <c r="F68" s="135" t="s">
        <v>530</v>
      </c>
      <c r="G68" s="135" t="s">
        <v>1018</v>
      </c>
      <c r="H68" t="s">
        <v>45</v>
      </c>
      <c r="I68" s="40" t="s">
        <v>985</v>
      </c>
      <c r="J68" t="s">
        <v>1042</v>
      </c>
      <c r="K68" t="s">
        <v>540</v>
      </c>
      <c r="L68" t="s">
        <v>1043</v>
      </c>
      <c r="M68" s="40" t="s">
        <v>440</v>
      </c>
      <c r="N68" t="s">
        <v>49</v>
      </c>
      <c r="O68" t="s">
        <v>460</v>
      </c>
      <c r="P68" t="s">
        <v>986</v>
      </c>
      <c r="Q68"/>
      <c r="R68"/>
      <c r="S68" s="140"/>
      <c r="T68" s="18" t="s">
        <v>441</v>
      </c>
    </row>
    <row r="69" spans="1:20" hidden="1" x14ac:dyDescent="0.2">
      <c r="A69" s="151" t="s">
        <v>1017</v>
      </c>
      <c r="B69" s="151" t="s">
        <v>1014</v>
      </c>
      <c r="C69" s="6" t="s">
        <v>995</v>
      </c>
      <c r="D69" s="108"/>
      <c r="E69" s="108" t="s">
        <v>1047</v>
      </c>
      <c r="F69" s="108" t="s">
        <v>614</v>
      </c>
      <c r="G69" s="108" t="s">
        <v>1018</v>
      </c>
      <c r="H69" s="6" t="s">
        <v>46</v>
      </c>
      <c r="I69" s="6"/>
      <c r="J69" s="6" t="s">
        <v>1047</v>
      </c>
      <c r="K69" s="6"/>
      <c r="L69" s="6" t="s">
        <v>1060</v>
      </c>
      <c r="M69" s="111" t="s">
        <v>996</v>
      </c>
      <c r="N69" s="6" t="s">
        <v>50</v>
      </c>
      <c r="O69" s="6" t="s">
        <v>460</v>
      </c>
      <c r="P69" s="6"/>
      <c r="Q69" s="6"/>
      <c r="R69" s="6"/>
      <c r="S69" s="6"/>
      <c r="T69" s="6"/>
    </row>
    <row r="70" spans="1:20" hidden="1" x14ac:dyDescent="0.2">
      <c r="A70" t="s">
        <v>1008</v>
      </c>
      <c r="B70" t="s">
        <v>1015</v>
      </c>
      <c r="C70" t="s">
        <v>998</v>
      </c>
      <c r="D70" s="135" t="s">
        <v>999</v>
      </c>
      <c r="E70" s="135" t="s">
        <v>445</v>
      </c>
      <c r="F70" s="135" t="s">
        <v>1000</v>
      </c>
      <c r="G70" s="135" t="s">
        <v>1061</v>
      </c>
      <c r="H70" t="s">
        <v>1067</v>
      </c>
      <c r="I70"/>
      <c r="J70" t="s">
        <v>1027</v>
      </c>
      <c r="K70" t="s">
        <v>532</v>
      </c>
      <c r="L70" t="s">
        <v>1037</v>
      </c>
      <c r="M70" t="s">
        <v>1068</v>
      </c>
      <c r="N70"/>
      <c r="O70" t="s">
        <v>460</v>
      </c>
      <c r="P70" t="s">
        <v>1001</v>
      </c>
      <c r="Q70"/>
      <c r="R70"/>
      <c r="S70" t="s">
        <v>1003</v>
      </c>
      <c r="T70" s="18"/>
    </row>
    <row r="71" spans="1:20" hidden="1" x14ac:dyDescent="0.2">
      <c r="A71" t="s">
        <v>1008</v>
      </c>
      <c r="B71" t="s">
        <v>1016</v>
      </c>
      <c r="C71" t="s">
        <v>998</v>
      </c>
      <c r="D71" s="135" t="s">
        <v>1002</v>
      </c>
      <c r="E71" s="135" t="s">
        <v>445</v>
      </c>
      <c r="F71" s="135" t="s">
        <v>530</v>
      </c>
      <c r="G71" s="135" t="s">
        <v>1018</v>
      </c>
      <c r="H71" s="40" t="s">
        <v>622</v>
      </c>
      <c r="I71" s="40" t="s">
        <v>52</v>
      </c>
      <c r="J71" t="s">
        <v>26</v>
      </c>
      <c r="K71" t="s">
        <v>1004</v>
      </c>
      <c r="L71" t="s">
        <v>1062</v>
      </c>
      <c r="M71" t="s">
        <v>1005</v>
      </c>
      <c r="N71" t="s">
        <v>50</v>
      </c>
      <c r="O71" t="s">
        <v>460</v>
      </c>
      <c r="P71" t="s">
        <v>89</v>
      </c>
      <c r="Q71"/>
      <c r="R71"/>
      <c r="S71" t="s">
        <v>1003</v>
      </c>
      <c r="T71" s="18"/>
    </row>
    <row r="72" spans="1:20" hidden="1" x14ac:dyDescent="0.2">
      <c r="A72" t="s">
        <v>1008</v>
      </c>
      <c r="B72" t="s">
        <v>1016</v>
      </c>
      <c r="C72" t="s">
        <v>998</v>
      </c>
      <c r="D72" s="135" t="s">
        <v>1009</v>
      </c>
      <c r="E72" s="135" t="s">
        <v>1047</v>
      </c>
      <c r="F72" s="135" t="s">
        <v>534</v>
      </c>
      <c r="G72" s="135" t="s">
        <v>1049</v>
      </c>
      <c r="H72" t="s">
        <v>536</v>
      </c>
      <c r="I72" s="40" t="s">
        <v>60</v>
      </c>
      <c r="J72" t="s">
        <v>26</v>
      </c>
      <c r="K72" t="s">
        <v>1010</v>
      </c>
      <c r="L72" t="s">
        <v>1063</v>
      </c>
      <c r="M72" s="40" t="s">
        <v>1011</v>
      </c>
      <c r="N72" t="s">
        <v>50</v>
      </c>
      <c r="O72" t="s">
        <v>460</v>
      </c>
      <c r="P72" t="s">
        <v>89</v>
      </c>
      <c r="Q72"/>
      <c r="R72"/>
      <c r="S72" t="s">
        <v>1012</v>
      </c>
      <c r="T72" s="18"/>
    </row>
    <row r="73" spans="1:20" hidden="1" x14ac:dyDescent="0.2">
      <c r="A73" t="s">
        <v>1008</v>
      </c>
      <c r="B73" s="135" t="s">
        <v>1015</v>
      </c>
      <c r="C73" s="135" t="s">
        <v>41</v>
      </c>
      <c r="D73" s="135" t="s">
        <v>1070</v>
      </c>
      <c r="E73" s="135" t="s">
        <v>445</v>
      </c>
      <c r="F73" s="135" t="s">
        <v>530</v>
      </c>
      <c r="G73" s="135" t="s">
        <v>1018</v>
      </c>
      <c r="H73" t="s">
        <v>1071</v>
      </c>
      <c r="I73"/>
      <c r="J73" t="s">
        <v>445</v>
      </c>
      <c r="K73" t="s">
        <v>1000</v>
      </c>
      <c r="L73" t="s">
        <v>1061</v>
      </c>
      <c r="M73" t="s">
        <v>1067</v>
      </c>
      <c r="N73"/>
      <c r="O73" t="s">
        <v>460</v>
      </c>
      <c r="P73" t="s">
        <v>1001</v>
      </c>
      <c r="Q73"/>
      <c r="R73"/>
      <c r="S73" t="s">
        <v>1012</v>
      </c>
      <c r="T73"/>
    </row>
    <row r="74" spans="1:20" hidden="1" x14ac:dyDescent="0.2">
      <c r="A74" t="s">
        <v>1008</v>
      </c>
      <c r="B74" s="135" t="s">
        <v>1015</v>
      </c>
      <c r="C74" s="135" t="s">
        <v>467</v>
      </c>
      <c r="D74" s="135">
        <v>21087331</v>
      </c>
      <c r="E74" s="135" t="s">
        <v>1027</v>
      </c>
      <c r="F74" s="135" t="s">
        <v>532</v>
      </c>
      <c r="G74" s="135" t="s">
        <v>1037</v>
      </c>
      <c r="H74" t="s">
        <v>1068</v>
      </c>
      <c r="I74"/>
      <c r="J74" t="s">
        <v>1047</v>
      </c>
      <c r="K74" t="s">
        <v>534</v>
      </c>
      <c r="L74" t="s">
        <v>1049</v>
      </c>
      <c r="M74" t="s">
        <v>1072</v>
      </c>
      <c r="N74"/>
      <c r="O74" t="s">
        <v>596</v>
      </c>
      <c r="P74" t="s">
        <v>89</v>
      </c>
      <c r="Q74"/>
      <c r="R74"/>
      <c r="S74" t="s">
        <v>1073</v>
      </c>
      <c r="T74" t="s">
        <v>1074</v>
      </c>
    </row>
  </sheetData>
  <hyperlinks>
    <hyperlink ref="P5" location="'Cross-Connects'!35:35" display="Yes"/>
    <hyperlink ref="P66" location="'Cross-Connects'!7:7" display="Yes"/>
  </hyperlinks>
  <pageMargins left="0.7" right="0.7" top="0.75" bottom="0.75" header="0.3" footer="0.3"/>
  <pageSetup scale="44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9"/>
  <sheetViews>
    <sheetView workbookViewId="0">
      <selection activeCell="B20" sqref="B20"/>
    </sheetView>
  </sheetViews>
  <sheetFormatPr defaultRowHeight="12.75" x14ac:dyDescent="0.2"/>
  <cols>
    <col min="2" max="2" width="11.28515625" bestFit="1" customWidth="1"/>
  </cols>
  <sheetData>
    <row r="1" spans="1:2" x14ac:dyDescent="0.2">
      <c r="A1" s="82" t="s">
        <v>662</v>
      </c>
    </row>
    <row r="2" spans="1:2" x14ac:dyDescent="0.2">
      <c r="A2" t="s">
        <v>646</v>
      </c>
      <c r="B2" s="52" t="s">
        <v>663</v>
      </c>
    </row>
    <row r="3" spans="1:2" x14ac:dyDescent="0.2">
      <c r="A3" t="s">
        <v>46</v>
      </c>
      <c r="B3" s="48" t="s">
        <v>664</v>
      </c>
    </row>
    <row r="4" spans="1:2" x14ac:dyDescent="0.2">
      <c r="A4" t="s">
        <v>647</v>
      </c>
      <c r="B4" s="57" t="s">
        <v>665</v>
      </c>
    </row>
    <row r="5" spans="1:2" x14ac:dyDescent="0.2">
      <c r="A5" t="s">
        <v>648</v>
      </c>
      <c r="B5" s="48" t="s">
        <v>666</v>
      </c>
    </row>
    <row r="6" spans="1:2" x14ac:dyDescent="0.2">
      <c r="A6" t="s">
        <v>649</v>
      </c>
      <c r="B6" s="57" t="s">
        <v>667</v>
      </c>
    </row>
    <row r="7" spans="1:2" x14ac:dyDescent="0.2">
      <c r="A7" t="s">
        <v>652</v>
      </c>
      <c r="B7" s="48" t="s">
        <v>646</v>
      </c>
    </row>
    <row r="8" spans="1:2" x14ac:dyDescent="0.2">
      <c r="A8" t="s">
        <v>653</v>
      </c>
      <c r="B8" s="57" t="s">
        <v>668</v>
      </c>
    </row>
    <row r="9" spans="1:2" x14ac:dyDescent="0.2">
      <c r="A9" t="s">
        <v>654</v>
      </c>
      <c r="B9" s="48" t="s">
        <v>668</v>
      </c>
    </row>
    <row r="10" spans="1:2" x14ac:dyDescent="0.2">
      <c r="A10" t="s">
        <v>655</v>
      </c>
      <c r="B10" s="57" t="s">
        <v>669</v>
      </c>
    </row>
    <row r="11" spans="1:2" x14ac:dyDescent="0.2">
      <c r="A11" t="s">
        <v>660</v>
      </c>
      <c r="B11" s="48" t="s">
        <v>669</v>
      </c>
    </row>
    <row r="12" spans="1:2" x14ac:dyDescent="0.2">
      <c r="A12" t="s">
        <v>661</v>
      </c>
      <c r="B12" s="57" t="s">
        <v>670</v>
      </c>
    </row>
    <row r="13" spans="1:2" x14ac:dyDescent="0.2">
      <c r="A13" t="s">
        <v>656</v>
      </c>
      <c r="B13" s="48" t="s">
        <v>668</v>
      </c>
    </row>
    <row r="14" spans="1:2" x14ac:dyDescent="0.2">
      <c r="A14" t="s">
        <v>657</v>
      </c>
      <c r="B14" s="57" t="s">
        <v>671</v>
      </c>
    </row>
    <row r="15" spans="1:2" x14ac:dyDescent="0.2">
      <c r="A15" t="s">
        <v>658</v>
      </c>
      <c r="B15" s="46" t="s">
        <v>675</v>
      </c>
    </row>
    <row r="16" spans="1:2" x14ac:dyDescent="0.2">
      <c r="A16" t="s">
        <v>659</v>
      </c>
      <c r="B16" s="81" t="s">
        <v>676</v>
      </c>
    </row>
    <row r="17" spans="1:2" x14ac:dyDescent="0.2">
      <c r="A17" t="s">
        <v>790</v>
      </c>
      <c r="B17" t="s">
        <v>791</v>
      </c>
    </row>
    <row r="18" spans="1:2" x14ac:dyDescent="0.2">
      <c r="B18" t="s">
        <v>792</v>
      </c>
    </row>
    <row r="19" spans="1:2" x14ac:dyDescent="0.2">
      <c r="B19" t="s">
        <v>793</v>
      </c>
    </row>
  </sheetData>
  <conditionalFormatting sqref="B2:B14">
    <cfRule type="expression" dxfId="17" priority="1">
      <formula>NOT(#REF!="Y")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S48"/>
  <sheetViews>
    <sheetView topLeftCell="A5" workbookViewId="0">
      <selection activeCell="O48" sqref="O48"/>
    </sheetView>
  </sheetViews>
  <sheetFormatPr defaultRowHeight="12.75" x14ac:dyDescent="0.2"/>
  <cols>
    <col min="1" max="1" width="20.28515625" style="17" bestFit="1" customWidth="1"/>
    <col min="2" max="2" width="11.7109375" style="31" bestFit="1" customWidth="1"/>
    <col min="3" max="3" width="22.85546875" style="31" bestFit="1" customWidth="1"/>
    <col min="4" max="4" width="35" style="104" bestFit="1" customWidth="1"/>
    <col min="5" max="5" width="25.7109375" style="78" bestFit="1" customWidth="1"/>
    <col min="6" max="6" width="25.28515625" style="29" bestFit="1" customWidth="1"/>
    <col min="7" max="7" width="18.7109375" style="29" bestFit="1" customWidth="1"/>
    <col min="8" max="8" width="20.28515625" style="29" bestFit="1" customWidth="1"/>
    <col min="9" max="9" width="28.42578125" style="29" bestFit="1" customWidth="1"/>
    <col min="10" max="10" width="35" style="29" bestFit="1" customWidth="1"/>
    <col min="11" max="11" width="17.28515625" style="29" bestFit="1" customWidth="1"/>
    <col min="12" max="12" width="13.5703125" bestFit="1" customWidth="1"/>
    <col min="13" max="13" width="37.28515625" style="17" bestFit="1" customWidth="1"/>
    <col min="14" max="14" width="25.28515625" style="17" bestFit="1" customWidth="1"/>
    <col min="15" max="15" width="17.7109375" style="17" bestFit="1" customWidth="1"/>
    <col min="16" max="16" width="85.5703125" style="17" bestFit="1" customWidth="1"/>
    <col min="17" max="17" width="13.5703125" style="17" bestFit="1" customWidth="1"/>
    <col min="18" max="19" width="85.5703125" style="17" bestFit="1" customWidth="1"/>
    <col min="20" max="20" width="8.5703125" style="17" bestFit="1" customWidth="1"/>
    <col min="21" max="21" width="11.28515625" style="17" customWidth="1"/>
    <col min="22" max="16384" width="9.140625" style="17"/>
  </cols>
  <sheetData>
    <row r="1" spans="1:16" ht="20.25" thickBot="1" x14ac:dyDescent="0.35">
      <c r="A1" s="23" t="s">
        <v>621</v>
      </c>
      <c r="B1" s="87"/>
      <c r="C1" s="87"/>
      <c r="D1" s="101"/>
      <c r="E1" s="75"/>
      <c r="F1" s="28"/>
      <c r="G1" s="28"/>
      <c r="H1" s="28"/>
      <c r="I1" s="28"/>
      <c r="J1" s="28"/>
      <c r="K1" s="28"/>
    </row>
    <row r="2" spans="1:16" ht="13.5" thickTop="1" x14ac:dyDescent="0.2">
      <c r="A2" s="19" t="s">
        <v>475</v>
      </c>
      <c r="B2" s="31">
        <f ca="1">TODAY()</f>
        <v>44144</v>
      </c>
      <c r="C2" s="97"/>
      <c r="D2" s="102"/>
      <c r="E2" s="76"/>
      <c r="G2" s="31"/>
      <c r="H2" s="31"/>
      <c r="I2" s="31"/>
      <c r="J2" s="31"/>
      <c r="K2" s="31"/>
    </row>
    <row r="3" spans="1:16" s="114" customFormat="1" ht="24" customHeight="1" x14ac:dyDescent="0.25">
      <c r="A3" s="121" t="s">
        <v>842</v>
      </c>
      <c r="B3" s="115" t="s">
        <v>2</v>
      </c>
      <c r="C3" s="115" t="s">
        <v>843</v>
      </c>
      <c r="D3" s="122" t="s">
        <v>844</v>
      </c>
      <c r="E3" s="121" t="s">
        <v>845</v>
      </c>
      <c r="F3" s="115" t="s">
        <v>846</v>
      </c>
      <c r="G3" s="115" t="s">
        <v>847</v>
      </c>
      <c r="H3" s="115" t="s">
        <v>848</v>
      </c>
      <c r="I3" s="115" t="s">
        <v>4</v>
      </c>
      <c r="J3" s="115" t="s">
        <v>849</v>
      </c>
      <c r="K3" s="115" t="s">
        <v>850</v>
      </c>
      <c r="L3" s="115" t="s">
        <v>851</v>
      </c>
      <c r="M3" s="115" t="s">
        <v>852</v>
      </c>
      <c r="N3" s="115" t="s">
        <v>853</v>
      </c>
      <c r="O3" s="115" t="s">
        <v>854</v>
      </c>
      <c r="P3" s="115" t="s">
        <v>618</v>
      </c>
    </row>
    <row r="4" spans="1:16" x14ac:dyDescent="0.2">
      <c r="A4" t="s">
        <v>688</v>
      </c>
      <c r="B4" s="132" t="s">
        <v>686</v>
      </c>
      <c r="C4" s="133" t="s">
        <v>695</v>
      </c>
      <c r="D4" s="134" t="s">
        <v>856</v>
      </c>
      <c r="E4" s="135" t="s">
        <v>630</v>
      </c>
      <c r="F4" s="132" t="s">
        <v>963</v>
      </c>
      <c r="G4" s="132">
        <v>41331</v>
      </c>
      <c r="H4" s="132"/>
      <c r="I4" s="132"/>
      <c r="J4" t="s">
        <v>935</v>
      </c>
      <c r="K4" t="s">
        <v>865</v>
      </c>
      <c r="L4" s="132" t="s">
        <v>19</v>
      </c>
      <c r="M4" t="s">
        <v>928</v>
      </c>
      <c r="N4" t="s">
        <v>858</v>
      </c>
      <c r="O4" s="136">
        <v>275</v>
      </c>
      <c r="P4" s="136" t="s">
        <v>942</v>
      </c>
    </row>
    <row r="5" spans="1:16" x14ac:dyDescent="0.2">
      <c r="A5" s="18" t="s">
        <v>688</v>
      </c>
      <c r="B5" s="88" t="s">
        <v>686</v>
      </c>
      <c r="C5" s="103" t="s">
        <v>701</v>
      </c>
      <c r="D5" s="77" t="s">
        <v>856</v>
      </c>
      <c r="E5" s="30" t="s">
        <v>630</v>
      </c>
      <c r="F5" s="88" t="s">
        <v>944</v>
      </c>
      <c r="G5" s="88">
        <v>41688</v>
      </c>
      <c r="H5" s="88"/>
      <c r="I5" s="88" t="s">
        <v>920</v>
      </c>
      <c r="J5" t="s">
        <v>935</v>
      </c>
      <c r="K5" s="18" t="s">
        <v>858</v>
      </c>
      <c r="L5" s="88" t="s">
        <v>794</v>
      </c>
      <c r="M5" s="18" t="s">
        <v>943</v>
      </c>
      <c r="N5" s="18" t="s">
        <v>868</v>
      </c>
      <c r="O5" s="117">
        <v>275</v>
      </c>
      <c r="P5" s="117"/>
    </row>
    <row r="6" spans="1:16" x14ac:dyDescent="0.2">
      <c r="A6" s="85" t="s">
        <v>688</v>
      </c>
      <c r="B6" s="89" t="s">
        <v>686</v>
      </c>
      <c r="C6" s="107" t="s">
        <v>692</v>
      </c>
      <c r="D6" s="90" t="s">
        <v>856</v>
      </c>
      <c r="E6" s="86" t="s">
        <v>911</v>
      </c>
      <c r="F6" s="89" t="s">
        <v>964</v>
      </c>
      <c r="G6" s="89">
        <v>41000</v>
      </c>
      <c r="H6" s="89">
        <v>43573</v>
      </c>
      <c r="I6" s="89"/>
      <c r="J6" s="85" t="s">
        <v>929</v>
      </c>
      <c r="K6" s="85" t="s">
        <v>930</v>
      </c>
      <c r="L6" s="89" t="s">
        <v>19</v>
      </c>
      <c r="M6" s="85" t="s">
        <v>928</v>
      </c>
      <c r="N6" s="85" t="s">
        <v>869</v>
      </c>
      <c r="O6" s="120">
        <v>275</v>
      </c>
      <c r="P6" s="120"/>
    </row>
    <row r="7" spans="1:16" x14ac:dyDescent="0.2">
      <c r="A7" s="18" t="s">
        <v>688</v>
      </c>
      <c r="B7" s="88" t="s">
        <v>686</v>
      </c>
      <c r="C7" s="118" t="s">
        <v>693</v>
      </c>
      <c r="D7" s="77" t="s">
        <v>856</v>
      </c>
      <c r="E7" s="30" t="s">
        <v>630</v>
      </c>
      <c r="F7" s="88" t="s">
        <v>939</v>
      </c>
      <c r="G7" s="88">
        <v>41098</v>
      </c>
      <c r="H7" s="88"/>
      <c r="I7" s="88" t="s">
        <v>940</v>
      </c>
      <c r="J7" t="s">
        <v>935</v>
      </c>
      <c r="K7" s="18" t="s">
        <v>869</v>
      </c>
      <c r="L7" s="88" t="s">
        <v>19</v>
      </c>
      <c r="M7" s="18" t="s">
        <v>928</v>
      </c>
      <c r="N7" s="18" t="s">
        <v>869</v>
      </c>
      <c r="O7" s="117">
        <v>275</v>
      </c>
      <c r="P7" s="117"/>
    </row>
    <row r="8" spans="1:16" x14ac:dyDescent="0.2">
      <c r="A8" s="18" t="s">
        <v>688</v>
      </c>
      <c r="B8" s="88" t="s">
        <v>686</v>
      </c>
      <c r="C8" s="118" t="s">
        <v>699</v>
      </c>
      <c r="D8" s="77" t="s">
        <v>856</v>
      </c>
      <c r="E8" s="30" t="s">
        <v>630</v>
      </c>
      <c r="F8" s="88" t="s">
        <v>946</v>
      </c>
      <c r="G8" s="88">
        <v>42038</v>
      </c>
      <c r="H8" s="88"/>
      <c r="I8" s="88" t="s">
        <v>476</v>
      </c>
      <c r="J8" t="s">
        <v>935</v>
      </c>
      <c r="K8" s="18" t="s">
        <v>899</v>
      </c>
      <c r="L8" s="88" t="s">
        <v>794</v>
      </c>
      <c r="M8" s="18" t="s">
        <v>943</v>
      </c>
      <c r="N8" s="18" t="s">
        <v>865</v>
      </c>
      <c r="O8" s="117">
        <v>275</v>
      </c>
      <c r="P8" s="117"/>
    </row>
    <row r="9" spans="1:16" x14ac:dyDescent="0.2">
      <c r="A9" s="18" t="s">
        <v>688</v>
      </c>
      <c r="B9" s="88" t="s">
        <v>686</v>
      </c>
      <c r="C9" s="118" t="s">
        <v>698</v>
      </c>
      <c r="D9" s="77" t="s">
        <v>856</v>
      </c>
      <c r="E9" s="30" t="s">
        <v>630</v>
      </c>
      <c r="F9" s="88" t="s">
        <v>945</v>
      </c>
      <c r="G9" s="88">
        <v>42431</v>
      </c>
      <c r="H9" s="88"/>
      <c r="I9" s="88" t="s">
        <v>525</v>
      </c>
      <c r="J9" t="s">
        <v>935</v>
      </c>
      <c r="K9" s="18" t="s">
        <v>858</v>
      </c>
      <c r="L9" s="88" t="s">
        <v>794</v>
      </c>
      <c r="M9" s="18" t="s">
        <v>943</v>
      </c>
      <c r="N9" s="18" t="s">
        <v>858</v>
      </c>
      <c r="O9" s="117">
        <v>275</v>
      </c>
      <c r="P9" s="117" t="s">
        <v>947</v>
      </c>
    </row>
    <row r="10" spans="1:16" x14ac:dyDescent="0.2">
      <c r="A10" t="s">
        <v>688</v>
      </c>
      <c r="B10" s="132" t="s">
        <v>686</v>
      </c>
      <c r="C10" s="133" t="s">
        <v>691</v>
      </c>
      <c r="D10" s="134" t="s">
        <v>856</v>
      </c>
      <c r="E10" s="135" t="s">
        <v>630</v>
      </c>
      <c r="F10" s="132" t="s">
        <v>965</v>
      </c>
      <c r="G10" s="132">
        <v>42619</v>
      </c>
      <c r="H10" s="132"/>
      <c r="I10" s="132"/>
      <c r="J10" t="s">
        <v>935</v>
      </c>
      <c r="K10" t="s">
        <v>858</v>
      </c>
      <c r="L10" s="132" t="s">
        <v>19</v>
      </c>
      <c r="M10" t="s">
        <v>928</v>
      </c>
      <c r="N10" t="s">
        <v>858</v>
      </c>
      <c r="O10" s="136">
        <v>275</v>
      </c>
      <c r="P10" s="136" t="s">
        <v>948</v>
      </c>
    </row>
    <row r="11" spans="1:16" x14ac:dyDescent="0.2">
      <c r="A11" s="18" t="s">
        <v>688</v>
      </c>
      <c r="B11" s="88" t="s">
        <v>686</v>
      </c>
      <c r="C11" s="118" t="s">
        <v>949</v>
      </c>
      <c r="D11" s="119" t="s">
        <v>856</v>
      </c>
      <c r="E11" s="30" t="s">
        <v>630</v>
      </c>
      <c r="F11" s="88" t="s">
        <v>950</v>
      </c>
      <c r="G11" s="88">
        <v>43342</v>
      </c>
      <c r="H11" s="88"/>
      <c r="I11" s="88"/>
      <c r="J11" t="s">
        <v>935</v>
      </c>
      <c r="K11" s="18" t="s">
        <v>892</v>
      </c>
      <c r="L11" s="88" t="s">
        <v>41</v>
      </c>
      <c r="M11" s="18" t="s">
        <v>951</v>
      </c>
      <c r="N11" s="18" t="s">
        <v>892</v>
      </c>
      <c r="O11" s="117">
        <v>275</v>
      </c>
      <c r="P11" s="117" t="s">
        <v>952</v>
      </c>
    </row>
    <row r="12" spans="1:16" x14ac:dyDescent="0.2">
      <c r="A12" s="18" t="s">
        <v>688</v>
      </c>
      <c r="B12" s="88" t="s">
        <v>686</v>
      </c>
      <c r="C12" s="118" t="s">
        <v>953</v>
      </c>
      <c r="D12" s="119" t="s">
        <v>856</v>
      </c>
      <c r="E12" s="30" t="s">
        <v>630</v>
      </c>
      <c r="F12" s="88" t="s">
        <v>954</v>
      </c>
      <c r="G12" s="88">
        <v>43399</v>
      </c>
      <c r="H12" s="88"/>
      <c r="I12" s="88"/>
      <c r="J12" t="s">
        <v>935</v>
      </c>
      <c r="K12" s="18" t="s">
        <v>865</v>
      </c>
      <c r="L12" s="88" t="s">
        <v>41</v>
      </c>
      <c r="M12" s="18" t="s">
        <v>951</v>
      </c>
      <c r="N12" s="18" t="s">
        <v>865</v>
      </c>
      <c r="O12" s="117">
        <v>275</v>
      </c>
      <c r="P12" s="117" t="s">
        <v>955</v>
      </c>
    </row>
    <row r="13" spans="1:16" x14ac:dyDescent="0.2">
      <c r="A13" s="18" t="s">
        <v>855</v>
      </c>
      <c r="B13" s="88" t="s">
        <v>467</v>
      </c>
      <c r="C13" s="102"/>
      <c r="D13" s="77" t="s">
        <v>856</v>
      </c>
      <c r="E13" s="30" t="s">
        <v>630</v>
      </c>
      <c r="F13" s="88" t="s">
        <v>641</v>
      </c>
      <c r="G13" s="31">
        <v>43038</v>
      </c>
      <c r="H13" s="31"/>
      <c r="I13" s="88" t="s">
        <v>643</v>
      </c>
      <c r="J13" t="s">
        <v>857</v>
      </c>
      <c r="K13" s="18" t="s">
        <v>858</v>
      </c>
      <c r="L13" s="88" t="s">
        <v>794</v>
      </c>
      <c r="M13" s="18" t="s">
        <v>859</v>
      </c>
      <c r="N13" s="18" t="s">
        <v>860</v>
      </c>
      <c r="O13" s="116">
        <v>385.88</v>
      </c>
      <c r="P13" s="117"/>
    </row>
    <row r="14" spans="1:16" x14ac:dyDescent="0.2">
      <c r="A14" s="18" t="s">
        <v>855</v>
      </c>
      <c r="B14" s="88" t="s">
        <v>467</v>
      </c>
      <c r="C14" s="103"/>
      <c r="D14" s="77" t="s">
        <v>856</v>
      </c>
      <c r="E14" s="30"/>
      <c r="F14" s="88" t="s">
        <v>72</v>
      </c>
      <c r="G14" s="88">
        <v>42720</v>
      </c>
      <c r="H14" s="88"/>
      <c r="I14" s="88"/>
      <c r="J14" t="s">
        <v>857</v>
      </c>
      <c r="K14" s="18" t="s">
        <v>861</v>
      </c>
      <c r="L14" s="88" t="s">
        <v>467</v>
      </c>
      <c r="M14" s="18" t="s">
        <v>862</v>
      </c>
      <c r="N14" s="18" t="s">
        <v>858</v>
      </c>
      <c r="O14" s="116">
        <v>385.88</v>
      </c>
      <c r="P14" s="117"/>
    </row>
    <row r="15" spans="1:16" x14ac:dyDescent="0.2">
      <c r="A15" s="18" t="s">
        <v>855</v>
      </c>
      <c r="B15" s="88" t="s">
        <v>467</v>
      </c>
      <c r="C15" s="103"/>
      <c r="D15" s="77" t="s">
        <v>856</v>
      </c>
      <c r="E15" s="30"/>
      <c r="F15" s="88" t="s">
        <v>863</v>
      </c>
      <c r="G15" s="88">
        <v>42893</v>
      </c>
      <c r="H15" s="88"/>
      <c r="I15" s="88" t="s">
        <v>864</v>
      </c>
      <c r="J15" t="s">
        <v>857</v>
      </c>
      <c r="K15" s="18" t="s">
        <v>865</v>
      </c>
      <c r="L15" s="88" t="s">
        <v>794</v>
      </c>
      <c r="M15" s="18" t="s">
        <v>866</v>
      </c>
      <c r="N15" s="18" t="s">
        <v>867</v>
      </c>
      <c r="O15" s="116">
        <v>385.88</v>
      </c>
      <c r="P15" s="117"/>
    </row>
    <row r="16" spans="1:16" x14ac:dyDescent="0.2">
      <c r="A16" s="18" t="s">
        <v>855</v>
      </c>
      <c r="B16" s="88" t="s">
        <v>467</v>
      </c>
      <c r="C16" s="103"/>
      <c r="D16" s="77" t="s">
        <v>856</v>
      </c>
      <c r="E16" s="30"/>
      <c r="F16" s="88" t="s">
        <v>967</v>
      </c>
      <c r="G16" s="88">
        <v>43423</v>
      </c>
      <c r="H16" s="88"/>
      <c r="I16" s="137" t="s">
        <v>966</v>
      </c>
      <c r="J16" t="s">
        <v>857</v>
      </c>
      <c r="K16" s="32" t="s">
        <v>968</v>
      </c>
      <c r="L16" s="88" t="s">
        <v>467</v>
      </c>
      <c r="M16" s="18" t="s">
        <v>969</v>
      </c>
      <c r="N16" s="18" t="s">
        <v>883</v>
      </c>
      <c r="O16" s="117">
        <v>350</v>
      </c>
      <c r="P16" s="117"/>
    </row>
    <row r="17" spans="1:17" x14ac:dyDescent="0.2">
      <c r="A17" s="18" t="s">
        <v>855</v>
      </c>
      <c r="B17" s="88" t="s">
        <v>467</v>
      </c>
      <c r="C17" s="103"/>
      <c r="D17" s="77" t="s">
        <v>856</v>
      </c>
      <c r="E17" s="30" t="s">
        <v>630</v>
      </c>
      <c r="F17" s="88" t="s">
        <v>639</v>
      </c>
      <c r="G17" s="88">
        <v>43097</v>
      </c>
      <c r="H17" s="88"/>
      <c r="I17" s="88" t="s">
        <v>638</v>
      </c>
      <c r="J17" t="s">
        <v>857</v>
      </c>
      <c r="K17" s="18" t="s">
        <v>869</v>
      </c>
      <c r="L17" s="88" t="s">
        <v>794</v>
      </c>
      <c r="M17" s="18" t="s">
        <v>870</v>
      </c>
      <c r="N17" s="18" t="s">
        <v>871</v>
      </c>
      <c r="O17" s="117">
        <v>367.5</v>
      </c>
      <c r="P17" s="117"/>
    </row>
    <row r="18" spans="1:17" x14ac:dyDescent="0.2">
      <c r="A18" s="18" t="s">
        <v>855</v>
      </c>
      <c r="B18" s="88" t="s">
        <v>467</v>
      </c>
      <c r="C18" s="129" t="s">
        <v>710</v>
      </c>
      <c r="D18" s="77" t="s">
        <v>856</v>
      </c>
      <c r="E18" s="30" t="s">
        <v>630</v>
      </c>
      <c r="F18" s="88" t="s">
        <v>872</v>
      </c>
      <c r="G18" s="88">
        <v>42440</v>
      </c>
      <c r="H18" s="88"/>
      <c r="I18" s="88" t="s">
        <v>585</v>
      </c>
      <c r="J18" t="s">
        <v>857</v>
      </c>
      <c r="K18" s="18" t="s">
        <v>873</v>
      </c>
      <c r="L18" s="88" t="s">
        <v>794</v>
      </c>
      <c r="M18" s="18" t="s">
        <v>874</v>
      </c>
      <c r="N18" s="18" t="s">
        <v>875</v>
      </c>
      <c r="O18" s="117">
        <v>318.35000000000002</v>
      </c>
      <c r="P18" s="117"/>
    </row>
    <row r="19" spans="1:17" x14ac:dyDescent="0.2">
      <c r="A19" s="18" t="s">
        <v>855</v>
      </c>
      <c r="B19" s="88" t="s">
        <v>467</v>
      </c>
      <c r="C19" s="103" t="s">
        <v>711</v>
      </c>
      <c r="D19" s="77" t="s">
        <v>856</v>
      </c>
      <c r="E19" s="30" t="s">
        <v>630</v>
      </c>
      <c r="F19" s="88" t="s">
        <v>959</v>
      </c>
      <c r="G19" s="88">
        <v>42452</v>
      </c>
      <c r="H19" s="88"/>
      <c r="I19" s="88" t="s">
        <v>808</v>
      </c>
      <c r="J19" t="s">
        <v>857</v>
      </c>
      <c r="K19" s="18" t="s">
        <v>876</v>
      </c>
      <c r="L19" s="88" t="s">
        <v>794</v>
      </c>
      <c r="M19" s="18" t="s">
        <v>877</v>
      </c>
      <c r="N19" s="18" t="s">
        <v>878</v>
      </c>
      <c r="O19" s="117">
        <v>318.35000000000002</v>
      </c>
      <c r="P19" s="117"/>
    </row>
    <row r="20" spans="1:17" x14ac:dyDescent="0.2">
      <c r="A20" s="18" t="s">
        <v>855</v>
      </c>
      <c r="B20" s="88" t="s">
        <v>467</v>
      </c>
      <c r="C20" s="103" t="s">
        <v>732</v>
      </c>
      <c r="D20" s="77" t="s">
        <v>856</v>
      </c>
      <c r="E20" s="30" t="s">
        <v>630</v>
      </c>
      <c r="F20" s="88" t="s">
        <v>879</v>
      </c>
      <c r="G20" s="88">
        <v>42445</v>
      </c>
      <c r="H20" s="88"/>
      <c r="I20" s="88" t="s">
        <v>524</v>
      </c>
      <c r="J20" t="s">
        <v>857</v>
      </c>
      <c r="K20" s="18" t="s">
        <v>880</v>
      </c>
      <c r="L20" s="88" t="s">
        <v>794</v>
      </c>
      <c r="M20" s="18" t="s">
        <v>881</v>
      </c>
      <c r="N20" s="18" t="s">
        <v>880</v>
      </c>
      <c r="O20" s="117">
        <v>318.35000000000002</v>
      </c>
      <c r="P20" s="117"/>
    </row>
    <row r="21" spans="1:17" x14ac:dyDescent="0.2">
      <c r="A21" s="18" t="s">
        <v>855</v>
      </c>
      <c r="B21" s="88" t="s">
        <v>467</v>
      </c>
      <c r="C21" s="103" t="s">
        <v>709</v>
      </c>
      <c r="D21" s="77" t="s">
        <v>856</v>
      </c>
      <c r="E21" s="30" t="s">
        <v>630</v>
      </c>
      <c r="F21" s="88" t="s">
        <v>882</v>
      </c>
      <c r="G21" s="88">
        <v>42492</v>
      </c>
      <c r="H21" s="88"/>
      <c r="I21" s="88" t="s">
        <v>523</v>
      </c>
      <c r="J21" t="s">
        <v>857</v>
      </c>
      <c r="K21" s="18" t="s">
        <v>883</v>
      </c>
      <c r="L21" s="88" t="s">
        <v>794</v>
      </c>
      <c r="M21" s="18" t="s">
        <v>884</v>
      </c>
      <c r="N21" s="18" t="s">
        <v>885</v>
      </c>
      <c r="O21" s="117">
        <v>318.35000000000002</v>
      </c>
      <c r="P21" s="117"/>
      <c r="Q21" s="117"/>
    </row>
    <row r="22" spans="1:17" x14ac:dyDescent="0.2">
      <c r="A22" s="18" t="s">
        <v>855</v>
      </c>
      <c r="B22" s="88" t="s">
        <v>467</v>
      </c>
      <c r="C22" s="118" t="s">
        <v>708</v>
      </c>
      <c r="D22" s="77" t="s">
        <v>856</v>
      </c>
      <c r="E22" s="30" t="s">
        <v>630</v>
      </c>
      <c r="F22" s="88" t="s">
        <v>956</v>
      </c>
      <c r="G22" s="88">
        <v>42492</v>
      </c>
      <c r="H22" s="88"/>
      <c r="I22" s="88" t="s">
        <v>795</v>
      </c>
      <c r="J22" t="s">
        <v>857</v>
      </c>
      <c r="K22" s="18" t="s">
        <v>886</v>
      </c>
      <c r="L22" s="88" t="s">
        <v>794</v>
      </c>
      <c r="M22" s="18" t="s">
        <v>887</v>
      </c>
      <c r="N22" s="18" t="s">
        <v>888</v>
      </c>
      <c r="O22" s="117">
        <v>318.35000000000002</v>
      </c>
      <c r="P22" s="117"/>
      <c r="Q22" s="18"/>
    </row>
    <row r="23" spans="1:17" x14ac:dyDescent="0.2">
      <c r="A23" s="18" t="s">
        <v>855</v>
      </c>
      <c r="B23" s="88" t="s">
        <v>467</v>
      </c>
      <c r="C23" s="103" t="s">
        <v>707</v>
      </c>
      <c r="D23" s="77" t="s">
        <v>856</v>
      </c>
      <c r="E23" s="30" t="s">
        <v>630</v>
      </c>
      <c r="F23" s="88" t="s">
        <v>956</v>
      </c>
      <c r="G23" s="88"/>
      <c r="H23" s="88"/>
      <c r="I23" s="88" t="s">
        <v>706</v>
      </c>
      <c r="J23" t="s">
        <v>857</v>
      </c>
      <c r="K23" s="18" t="s">
        <v>905</v>
      </c>
      <c r="L23" s="88" t="s">
        <v>128</v>
      </c>
      <c r="M23" s="18"/>
      <c r="N23" s="18"/>
      <c r="O23" s="117"/>
      <c r="P23" s="117"/>
      <c r="Q23" s="18"/>
    </row>
    <row r="24" spans="1:17" x14ac:dyDescent="0.2">
      <c r="A24" s="18" t="s">
        <v>890</v>
      </c>
      <c r="B24" s="88" t="s">
        <v>467</v>
      </c>
      <c r="C24" s="103" t="s">
        <v>718</v>
      </c>
      <c r="D24" s="77" t="s">
        <v>856</v>
      </c>
      <c r="E24" s="30" t="s">
        <v>630</v>
      </c>
      <c r="F24" s="88" t="s">
        <v>958</v>
      </c>
      <c r="G24" s="88">
        <v>42670</v>
      </c>
      <c r="H24" s="88"/>
      <c r="I24" s="88" t="s">
        <v>592</v>
      </c>
      <c r="J24" t="s">
        <v>889</v>
      </c>
      <c r="K24" s="18" t="s">
        <v>858</v>
      </c>
      <c r="L24" s="88" t="s">
        <v>591</v>
      </c>
      <c r="M24" s="18" t="s">
        <v>891</v>
      </c>
      <c r="N24" s="18" t="s">
        <v>873</v>
      </c>
      <c r="O24" s="117">
        <v>405.17</v>
      </c>
      <c r="P24" s="117"/>
      <c r="Q24" s="18"/>
    </row>
    <row r="25" spans="1:17" x14ac:dyDescent="0.2">
      <c r="A25" s="18" t="s">
        <v>890</v>
      </c>
      <c r="B25" s="88" t="s">
        <v>467</v>
      </c>
      <c r="C25" s="103" t="s">
        <v>717</v>
      </c>
      <c r="D25" s="77" t="s">
        <v>856</v>
      </c>
      <c r="E25" s="30" t="s">
        <v>630</v>
      </c>
      <c r="F25" s="88" t="s">
        <v>652</v>
      </c>
      <c r="G25" s="88">
        <v>42653</v>
      </c>
      <c r="H25" s="88"/>
      <c r="I25" s="88" t="s">
        <v>590</v>
      </c>
      <c r="J25" t="s">
        <v>889</v>
      </c>
      <c r="K25" s="18" t="s">
        <v>892</v>
      </c>
      <c r="L25" s="88" t="s">
        <v>794</v>
      </c>
      <c r="M25" s="18" t="s">
        <v>893</v>
      </c>
      <c r="N25" s="18" t="s">
        <v>894</v>
      </c>
      <c r="O25" s="117">
        <v>405.17</v>
      </c>
      <c r="P25" s="117"/>
      <c r="Q25" s="18"/>
    </row>
    <row r="26" spans="1:17" x14ac:dyDescent="0.2">
      <c r="A26" s="18" t="s">
        <v>890</v>
      </c>
      <c r="B26" s="88" t="s">
        <v>467</v>
      </c>
      <c r="C26" s="118" t="s">
        <v>619</v>
      </c>
      <c r="D26" s="77" t="s">
        <v>856</v>
      </c>
      <c r="E26" s="30" t="s">
        <v>911</v>
      </c>
      <c r="F26" s="88" t="s">
        <v>895</v>
      </c>
      <c r="G26" s="88">
        <v>42880</v>
      </c>
      <c r="H26" s="88">
        <v>43549</v>
      </c>
      <c r="I26" s="88"/>
      <c r="J26" t="s">
        <v>889</v>
      </c>
      <c r="K26" s="18" t="s">
        <v>896</v>
      </c>
      <c r="L26" s="88" t="s">
        <v>293</v>
      </c>
      <c r="M26" s="18" t="s">
        <v>897</v>
      </c>
      <c r="N26" s="18" t="s">
        <v>883</v>
      </c>
      <c r="O26" s="117">
        <v>385.88</v>
      </c>
      <c r="P26" s="117"/>
      <c r="Q26" s="18"/>
    </row>
    <row r="27" spans="1:17" x14ac:dyDescent="0.2">
      <c r="A27" s="18" t="s">
        <v>890</v>
      </c>
      <c r="B27" s="88" t="s">
        <v>467</v>
      </c>
      <c r="C27" s="103" t="s">
        <v>620</v>
      </c>
      <c r="D27" s="77" t="s">
        <v>856</v>
      </c>
      <c r="E27" s="30" t="s">
        <v>911</v>
      </c>
      <c r="F27" s="88" t="s">
        <v>895</v>
      </c>
      <c r="G27" s="88">
        <v>42880</v>
      </c>
      <c r="H27" s="88">
        <v>43549</v>
      </c>
      <c r="I27" s="88"/>
      <c r="J27" t="s">
        <v>889</v>
      </c>
      <c r="K27" s="18" t="s">
        <v>898</v>
      </c>
      <c r="L27" s="88" t="s">
        <v>293</v>
      </c>
      <c r="M27" s="18" t="s">
        <v>897</v>
      </c>
      <c r="N27" s="18" t="s">
        <v>873</v>
      </c>
      <c r="O27" s="117">
        <v>385.88</v>
      </c>
      <c r="P27" s="117"/>
      <c r="Q27" s="18"/>
    </row>
    <row r="28" spans="1:17" x14ac:dyDescent="0.2">
      <c r="A28" s="18" t="s">
        <v>890</v>
      </c>
      <c r="B28" s="88" t="s">
        <v>467</v>
      </c>
      <c r="C28" s="131" t="s">
        <v>720</v>
      </c>
      <c r="D28" s="77" t="s">
        <v>856</v>
      </c>
      <c r="E28" s="30" t="s">
        <v>630</v>
      </c>
      <c r="F28" s="88" t="s">
        <v>957</v>
      </c>
      <c r="G28" s="88">
        <v>42533</v>
      </c>
      <c r="H28" s="88"/>
      <c r="I28" s="88" t="s">
        <v>605</v>
      </c>
      <c r="J28" t="s">
        <v>889</v>
      </c>
      <c r="K28" s="18" t="s">
        <v>899</v>
      </c>
      <c r="L28" s="88" t="s">
        <v>794</v>
      </c>
      <c r="M28" s="18" t="s">
        <v>893</v>
      </c>
      <c r="N28" s="18" t="s">
        <v>900</v>
      </c>
      <c r="O28" s="117">
        <v>385.88</v>
      </c>
      <c r="P28" s="117"/>
      <c r="Q28" s="18"/>
    </row>
    <row r="29" spans="1:17" x14ac:dyDescent="0.2">
      <c r="A29" s="18" t="s">
        <v>890</v>
      </c>
      <c r="B29" s="88" t="s">
        <v>467</v>
      </c>
      <c r="C29" s="103" t="s">
        <v>719</v>
      </c>
      <c r="D29" s="77" t="s">
        <v>856</v>
      </c>
      <c r="E29" s="30" t="s">
        <v>630</v>
      </c>
      <c r="F29" s="88" t="s">
        <v>961</v>
      </c>
      <c r="G29" s="88">
        <v>42707</v>
      </c>
      <c r="H29" s="88"/>
      <c r="I29" s="88" t="s">
        <v>109</v>
      </c>
      <c r="J29" t="s">
        <v>889</v>
      </c>
      <c r="K29" s="18" t="s">
        <v>869</v>
      </c>
      <c r="L29" s="88" t="s">
        <v>794</v>
      </c>
      <c r="M29" s="18" t="s">
        <v>901</v>
      </c>
      <c r="N29" s="18" t="s">
        <v>873</v>
      </c>
      <c r="O29" s="117">
        <v>385.88</v>
      </c>
      <c r="P29" s="117"/>
      <c r="Q29" s="18"/>
    </row>
    <row r="30" spans="1:17" x14ac:dyDescent="0.2">
      <c r="A30" s="18" t="s">
        <v>890</v>
      </c>
      <c r="B30" s="88" t="s">
        <v>467</v>
      </c>
      <c r="C30" s="103"/>
      <c r="D30" s="77" t="s">
        <v>856</v>
      </c>
      <c r="E30" s="30" t="s">
        <v>630</v>
      </c>
      <c r="F30" s="88" t="s">
        <v>902</v>
      </c>
      <c r="G30" s="88">
        <v>43371</v>
      </c>
      <c r="H30" s="88"/>
      <c r="I30" s="88"/>
      <c r="J30" t="s">
        <v>889</v>
      </c>
      <c r="K30" s="32" t="s">
        <v>903</v>
      </c>
      <c r="L30" s="88" t="s">
        <v>902</v>
      </c>
      <c r="M30" s="18" t="s">
        <v>904</v>
      </c>
      <c r="N30" s="18" t="s">
        <v>905</v>
      </c>
      <c r="O30" s="117">
        <v>367.5</v>
      </c>
      <c r="P30" s="117"/>
      <c r="Q30" s="18"/>
    </row>
    <row r="31" spans="1:17" x14ac:dyDescent="0.2">
      <c r="A31" s="18" t="s">
        <v>890</v>
      </c>
      <c r="B31" s="88" t="s">
        <v>467</v>
      </c>
      <c r="C31" s="103"/>
      <c r="D31" s="77" t="s">
        <v>856</v>
      </c>
      <c r="E31" s="30" t="s">
        <v>630</v>
      </c>
      <c r="F31" s="88" t="s">
        <v>906</v>
      </c>
      <c r="G31" s="88">
        <v>43294</v>
      </c>
      <c r="H31" s="88"/>
      <c r="I31" s="88"/>
      <c r="J31" t="s">
        <v>889</v>
      </c>
      <c r="K31" s="18" t="s">
        <v>868</v>
      </c>
      <c r="L31" s="88" t="s">
        <v>907</v>
      </c>
      <c r="M31" s="18" t="s">
        <v>908</v>
      </c>
      <c r="N31" s="32" t="s">
        <v>910</v>
      </c>
      <c r="O31" s="117">
        <v>367.5</v>
      </c>
      <c r="P31" s="117"/>
      <c r="Q31" s="18"/>
    </row>
    <row r="32" spans="1:17" x14ac:dyDescent="0.2">
      <c r="A32" s="18" t="s">
        <v>890</v>
      </c>
      <c r="B32" s="88" t="s">
        <v>467</v>
      </c>
      <c r="C32" s="129"/>
      <c r="D32" s="77" t="s">
        <v>856</v>
      </c>
      <c r="E32" s="30" t="s">
        <v>630</v>
      </c>
      <c r="F32" s="88" t="s">
        <v>639</v>
      </c>
      <c r="G32" s="88">
        <v>43097</v>
      </c>
      <c r="H32" s="88"/>
      <c r="I32" s="88"/>
      <c r="J32" t="s">
        <v>889</v>
      </c>
      <c r="K32" s="18" t="s">
        <v>867</v>
      </c>
      <c r="L32" s="88" t="s">
        <v>794</v>
      </c>
      <c r="M32" s="18" t="s">
        <v>909</v>
      </c>
      <c r="N32" s="18" t="s">
        <v>888</v>
      </c>
      <c r="O32" s="117">
        <v>367.5</v>
      </c>
      <c r="P32" s="117"/>
      <c r="Q32" s="18"/>
    </row>
    <row r="33" spans="1:19" x14ac:dyDescent="0.2">
      <c r="A33" s="18" t="s">
        <v>890</v>
      </c>
      <c r="B33" s="88" t="s">
        <v>467</v>
      </c>
      <c r="C33" s="103" t="s">
        <v>733</v>
      </c>
      <c r="D33" s="77" t="s">
        <v>856</v>
      </c>
      <c r="E33" s="30" t="s">
        <v>630</v>
      </c>
      <c r="F33" s="88" t="s">
        <v>960</v>
      </c>
      <c r="G33" s="88">
        <v>42438</v>
      </c>
      <c r="H33" s="88"/>
      <c r="I33" s="88" t="s">
        <v>525</v>
      </c>
      <c r="J33" t="s">
        <v>889</v>
      </c>
      <c r="K33" s="32" t="s">
        <v>912</v>
      </c>
      <c r="L33" s="88" t="s">
        <v>794</v>
      </c>
      <c r="M33" s="18" t="s">
        <v>913</v>
      </c>
      <c r="N33" s="18" t="s">
        <v>871</v>
      </c>
      <c r="O33" s="117">
        <v>318.35000000000002</v>
      </c>
      <c r="P33" s="117"/>
      <c r="Q33" s="18"/>
    </row>
    <row r="34" spans="1:19" x14ac:dyDescent="0.2">
      <c r="A34" s="18" t="s">
        <v>890</v>
      </c>
      <c r="B34" s="88" t="s">
        <v>467</v>
      </c>
      <c r="C34" s="103"/>
      <c r="D34" s="77" t="s">
        <v>856</v>
      </c>
      <c r="E34" s="30" t="s">
        <v>630</v>
      </c>
      <c r="F34" s="88" t="s">
        <v>914</v>
      </c>
      <c r="G34" s="88">
        <v>43131</v>
      </c>
      <c r="H34" s="88"/>
      <c r="I34" s="88" t="s">
        <v>524</v>
      </c>
      <c r="J34" t="s">
        <v>889</v>
      </c>
      <c r="K34" s="32" t="s">
        <v>915</v>
      </c>
      <c r="L34" s="88" t="s">
        <v>794</v>
      </c>
      <c r="M34" s="18" t="s">
        <v>916</v>
      </c>
      <c r="N34" s="18" t="s">
        <v>883</v>
      </c>
      <c r="O34" s="117">
        <v>318.35000000000002</v>
      </c>
      <c r="P34" s="117"/>
      <c r="Q34" s="18"/>
    </row>
    <row r="35" spans="1:19" x14ac:dyDescent="0.2">
      <c r="A35" s="18" t="s">
        <v>890</v>
      </c>
      <c r="B35" s="88" t="s">
        <v>467</v>
      </c>
      <c r="C35" s="103"/>
      <c r="D35" s="77" t="s">
        <v>856</v>
      </c>
      <c r="E35" s="30" t="s">
        <v>630</v>
      </c>
      <c r="F35" s="88" t="s">
        <v>917</v>
      </c>
      <c r="G35" s="88"/>
      <c r="H35" s="88"/>
      <c r="I35" s="88"/>
      <c r="J35" t="s">
        <v>889</v>
      </c>
      <c r="K35" s="18" t="s">
        <v>918</v>
      </c>
      <c r="L35" s="88" t="s">
        <v>919</v>
      </c>
      <c r="M35" s="18"/>
      <c r="N35" s="18"/>
      <c r="O35" s="117"/>
      <c r="P35" s="117"/>
      <c r="Q35" s="18"/>
    </row>
    <row r="36" spans="1:19" x14ac:dyDescent="0.2">
      <c r="A36" s="3" t="s">
        <v>688</v>
      </c>
      <c r="B36" s="123" t="s">
        <v>686</v>
      </c>
      <c r="C36" s="130" t="s">
        <v>700</v>
      </c>
      <c r="D36" s="125" t="s">
        <v>856</v>
      </c>
      <c r="E36" s="41" t="s">
        <v>911</v>
      </c>
      <c r="F36" s="123" t="s">
        <v>945</v>
      </c>
      <c r="G36" s="123">
        <v>41688</v>
      </c>
      <c r="H36" s="123">
        <v>43360</v>
      </c>
      <c r="I36" s="123" t="s">
        <v>121</v>
      </c>
      <c r="J36" s="3" t="s">
        <v>935</v>
      </c>
      <c r="K36" s="3" t="s">
        <v>869</v>
      </c>
      <c r="L36" s="123" t="s">
        <v>794</v>
      </c>
      <c r="M36" s="3" t="s">
        <v>943</v>
      </c>
      <c r="N36" s="3" t="s">
        <v>858</v>
      </c>
      <c r="O36" s="126">
        <v>275</v>
      </c>
      <c r="P36" s="126"/>
      <c r="Q36" s="18"/>
    </row>
    <row r="37" spans="1:19" x14ac:dyDescent="0.2">
      <c r="A37" s="3" t="s">
        <v>688</v>
      </c>
      <c r="B37" s="123" t="s">
        <v>686</v>
      </c>
      <c r="C37" s="127" t="s">
        <v>687</v>
      </c>
      <c r="D37" s="125" t="s">
        <v>856</v>
      </c>
      <c r="E37" s="41" t="s">
        <v>911</v>
      </c>
      <c r="F37" s="123"/>
      <c r="G37" s="123">
        <v>41000</v>
      </c>
      <c r="H37" s="123">
        <v>43561</v>
      </c>
      <c r="I37" s="123"/>
      <c r="J37" s="3" t="s">
        <v>924</v>
      </c>
      <c r="K37" s="3" t="s">
        <v>925</v>
      </c>
      <c r="L37" s="123" t="s">
        <v>5</v>
      </c>
      <c r="M37" s="3" t="s">
        <v>926</v>
      </c>
      <c r="N37" s="3" t="s">
        <v>896</v>
      </c>
      <c r="O37" s="126"/>
      <c r="P37" s="126" t="s">
        <v>927</v>
      </c>
      <c r="Q37" s="18"/>
    </row>
    <row r="38" spans="1:19" x14ac:dyDescent="0.2">
      <c r="A38" s="3" t="s">
        <v>688</v>
      </c>
      <c r="B38" s="123" t="s">
        <v>686</v>
      </c>
      <c r="C38" s="127" t="s">
        <v>697</v>
      </c>
      <c r="D38" s="125" t="s">
        <v>856</v>
      </c>
      <c r="E38" s="41" t="s">
        <v>911</v>
      </c>
      <c r="F38" s="123"/>
      <c r="G38" s="123">
        <v>39302</v>
      </c>
      <c r="H38" s="123">
        <v>43560</v>
      </c>
      <c r="I38" s="123"/>
      <c r="J38" s="3" t="s">
        <v>926</v>
      </c>
      <c r="K38" s="3" t="s">
        <v>918</v>
      </c>
      <c r="L38" s="123" t="s">
        <v>696</v>
      </c>
      <c r="M38" s="3" t="s">
        <v>924</v>
      </c>
      <c r="N38" s="3" t="s">
        <v>867</v>
      </c>
      <c r="O38" s="126">
        <v>275</v>
      </c>
      <c r="P38" s="126" t="s">
        <v>923</v>
      </c>
      <c r="Q38" s="18"/>
    </row>
    <row r="39" spans="1:19" x14ac:dyDescent="0.2">
      <c r="A39" s="3" t="s">
        <v>688</v>
      </c>
      <c r="B39" s="123" t="s">
        <v>686</v>
      </c>
      <c r="C39" s="128" t="s">
        <v>689</v>
      </c>
      <c r="D39" s="125" t="s">
        <v>856</v>
      </c>
      <c r="E39" s="41" t="s">
        <v>911</v>
      </c>
      <c r="F39" s="123"/>
      <c r="G39" s="123">
        <v>39456</v>
      </c>
      <c r="H39" s="123">
        <v>43562</v>
      </c>
      <c r="I39" s="123"/>
      <c r="J39" s="3" t="s">
        <v>924</v>
      </c>
      <c r="K39" s="3" t="s">
        <v>883</v>
      </c>
      <c r="L39" s="123" t="s">
        <v>5</v>
      </c>
      <c r="M39" s="3" t="s">
        <v>926</v>
      </c>
      <c r="N39" s="3" t="s">
        <v>871</v>
      </c>
      <c r="O39" s="126">
        <v>275</v>
      </c>
      <c r="P39" s="126" t="s">
        <v>931</v>
      </c>
      <c r="Q39" s="18"/>
    </row>
    <row r="40" spans="1:19" x14ac:dyDescent="0.2">
      <c r="A40" s="3" t="s">
        <v>688</v>
      </c>
      <c r="B40" s="123" t="s">
        <v>686</v>
      </c>
      <c r="C40" s="127" t="s">
        <v>690</v>
      </c>
      <c r="D40" s="125" t="s">
        <v>856</v>
      </c>
      <c r="E40" s="41" t="s">
        <v>911</v>
      </c>
      <c r="F40" s="123"/>
      <c r="G40" s="123">
        <v>39456</v>
      </c>
      <c r="H40" s="123">
        <v>43560</v>
      </c>
      <c r="I40" s="123"/>
      <c r="J40" s="3" t="s">
        <v>924</v>
      </c>
      <c r="K40" s="3" t="s">
        <v>873</v>
      </c>
      <c r="L40" s="123" t="s">
        <v>5</v>
      </c>
      <c r="M40" s="3" t="s">
        <v>926</v>
      </c>
      <c r="N40" s="3" t="s">
        <v>933</v>
      </c>
      <c r="O40" s="126">
        <v>275</v>
      </c>
      <c r="P40" s="126" t="s">
        <v>932</v>
      </c>
      <c r="Q40" s="18"/>
    </row>
    <row r="41" spans="1:19" x14ac:dyDescent="0.2">
      <c r="A41" s="3" t="s">
        <v>688</v>
      </c>
      <c r="B41" s="123" t="s">
        <v>686</v>
      </c>
      <c r="C41" s="124" t="s">
        <v>938</v>
      </c>
      <c r="D41" s="125" t="s">
        <v>856</v>
      </c>
      <c r="E41" s="41" t="s">
        <v>911</v>
      </c>
      <c r="F41" s="123" t="s">
        <v>895</v>
      </c>
      <c r="G41" s="123">
        <v>40709</v>
      </c>
      <c r="H41" s="123">
        <v>43565</v>
      </c>
      <c r="I41" s="123"/>
      <c r="J41" s="3" t="s">
        <v>926</v>
      </c>
      <c r="K41" s="3" t="s">
        <v>883</v>
      </c>
      <c r="L41" s="123" t="s">
        <v>19</v>
      </c>
      <c r="M41" s="3" t="s">
        <v>928</v>
      </c>
      <c r="N41" s="3" t="s">
        <v>868</v>
      </c>
      <c r="O41" s="126"/>
      <c r="P41" s="126"/>
      <c r="Q41" s="18"/>
    </row>
    <row r="42" spans="1:19" x14ac:dyDescent="0.2">
      <c r="A42" s="3" t="s">
        <v>688</v>
      </c>
      <c r="B42" s="123" t="s">
        <v>686</v>
      </c>
      <c r="C42" s="128" t="s">
        <v>934</v>
      </c>
      <c r="D42" s="125" t="s">
        <v>856</v>
      </c>
      <c r="E42" s="41" t="s">
        <v>911</v>
      </c>
      <c r="F42" s="123"/>
      <c r="G42" s="123">
        <v>41052</v>
      </c>
      <c r="H42" s="123">
        <v>43560</v>
      </c>
      <c r="I42" s="123"/>
      <c r="J42" s="3" t="s">
        <v>935</v>
      </c>
      <c r="K42" s="3" t="s">
        <v>868</v>
      </c>
      <c r="L42" s="123" t="s">
        <v>5</v>
      </c>
      <c r="M42" s="3" t="s">
        <v>936</v>
      </c>
      <c r="N42" s="3" t="s">
        <v>937</v>
      </c>
      <c r="O42" s="126">
        <v>275</v>
      </c>
      <c r="P42" s="126" t="s">
        <v>927</v>
      </c>
    </row>
    <row r="43" spans="1:19" x14ac:dyDescent="0.2">
      <c r="A43" s="3" t="s">
        <v>688</v>
      </c>
      <c r="B43" s="123" t="s">
        <v>686</v>
      </c>
      <c r="C43" s="124" t="s">
        <v>694</v>
      </c>
      <c r="D43" s="125" t="s">
        <v>856</v>
      </c>
      <c r="E43" s="41" t="s">
        <v>911</v>
      </c>
      <c r="F43" s="123" t="s">
        <v>895</v>
      </c>
      <c r="G43" s="123">
        <v>41326</v>
      </c>
      <c r="H43" s="123">
        <v>43565</v>
      </c>
      <c r="I43" s="123"/>
      <c r="J43" s="3" t="s">
        <v>935</v>
      </c>
      <c r="K43" s="3" t="s">
        <v>892</v>
      </c>
      <c r="L43" s="123" t="s">
        <v>19</v>
      </c>
      <c r="M43" s="3" t="s">
        <v>941</v>
      </c>
      <c r="N43" s="3" t="s">
        <v>892</v>
      </c>
      <c r="O43" s="126"/>
      <c r="P43" s="126"/>
    </row>
    <row r="44" spans="1:19" x14ac:dyDescent="0.2">
      <c r="A44" s="3" t="s">
        <v>688</v>
      </c>
      <c r="B44" s="123" t="s">
        <v>686</v>
      </c>
      <c r="C44" s="124" t="s">
        <v>702</v>
      </c>
      <c r="D44" s="125" t="s">
        <v>856</v>
      </c>
      <c r="E44" s="41" t="s">
        <v>911</v>
      </c>
      <c r="F44" s="123" t="s">
        <v>921</v>
      </c>
      <c r="G44" s="123"/>
      <c r="H44" s="123">
        <v>43472</v>
      </c>
      <c r="I44" s="123"/>
      <c r="J44" s="3"/>
      <c r="K44" s="3"/>
      <c r="L44" s="123"/>
      <c r="M44" s="3"/>
      <c r="N44" s="3"/>
      <c r="O44" s="126"/>
      <c r="P44" s="126"/>
    </row>
    <row r="45" spans="1:19" x14ac:dyDescent="0.2">
      <c r="A45" s="3" t="s">
        <v>688</v>
      </c>
      <c r="B45" s="123" t="s">
        <v>686</v>
      </c>
      <c r="C45" s="124" t="s">
        <v>703</v>
      </c>
      <c r="D45" s="125" t="s">
        <v>856</v>
      </c>
      <c r="E45" s="41" t="s">
        <v>911</v>
      </c>
      <c r="F45" s="123" t="s">
        <v>922</v>
      </c>
      <c r="G45" s="123"/>
      <c r="H45" s="123">
        <v>43472</v>
      </c>
      <c r="I45" s="123"/>
      <c r="J45" s="3"/>
      <c r="K45" s="3"/>
      <c r="L45" s="123"/>
      <c r="M45" s="3"/>
      <c r="N45" s="3"/>
      <c r="O45" s="126"/>
      <c r="P45" s="126"/>
    </row>
    <row r="46" spans="1:19" x14ac:dyDescent="0.2">
      <c r="A46" s="3" t="s">
        <v>688</v>
      </c>
      <c r="B46" s="123" t="s">
        <v>686</v>
      </c>
      <c r="C46" s="127" t="s">
        <v>987</v>
      </c>
      <c r="D46" s="128" t="s">
        <v>856</v>
      </c>
      <c r="E46" s="142" t="s">
        <v>911</v>
      </c>
      <c r="F46" s="123" t="s">
        <v>988</v>
      </c>
      <c r="G46" s="123">
        <v>43637</v>
      </c>
      <c r="H46" s="123">
        <v>43754</v>
      </c>
      <c r="I46" s="123"/>
      <c r="J46" s="3" t="s">
        <v>989</v>
      </c>
      <c r="K46" s="3" t="s">
        <v>865</v>
      </c>
      <c r="L46" s="123" t="s">
        <v>990</v>
      </c>
      <c r="M46" s="3" t="s">
        <v>991</v>
      </c>
      <c r="N46" s="3" t="s">
        <v>992</v>
      </c>
      <c r="O46" s="143">
        <f>550/2</f>
        <v>275</v>
      </c>
      <c r="P46" s="3"/>
      <c r="Q46" s="18"/>
      <c r="R46" s="18"/>
      <c r="S46" s="117"/>
    </row>
    <row r="47" spans="1:19" x14ac:dyDescent="0.2">
      <c r="A47" s="3" t="s">
        <v>688</v>
      </c>
      <c r="B47" s="123" t="s">
        <v>686</v>
      </c>
      <c r="C47" s="127" t="s">
        <v>987</v>
      </c>
      <c r="D47" s="128" t="s">
        <v>856</v>
      </c>
      <c r="E47" s="142" t="s">
        <v>911</v>
      </c>
      <c r="F47" s="123" t="s">
        <v>988</v>
      </c>
      <c r="G47" s="123">
        <v>43637</v>
      </c>
      <c r="H47" s="123">
        <v>43754</v>
      </c>
      <c r="I47" s="123"/>
      <c r="J47" s="3" t="s">
        <v>989</v>
      </c>
      <c r="K47" s="3" t="s">
        <v>868</v>
      </c>
      <c r="L47" s="123" t="s">
        <v>990</v>
      </c>
      <c r="M47" s="3" t="s">
        <v>991</v>
      </c>
      <c r="N47" s="3" t="s">
        <v>992</v>
      </c>
      <c r="O47" s="143">
        <f>550/2</f>
        <v>275</v>
      </c>
      <c r="P47" s="3"/>
    </row>
    <row r="48" spans="1:19" x14ac:dyDescent="0.2">
      <c r="A48" s="144" t="s">
        <v>688</v>
      </c>
      <c r="B48" s="145" t="s">
        <v>686</v>
      </c>
      <c r="C48" s="146" t="s">
        <v>993</v>
      </c>
      <c r="D48" s="147" t="s">
        <v>856</v>
      </c>
      <c r="E48" s="148" t="s">
        <v>630</v>
      </c>
      <c r="F48" s="145" t="s">
        <v>994</v>
      </c>
      <c r="G48" s="145">
        <v>43854</v>
      </c>
      <c r="H48" s="145"/>
      <c r="I48" s="145"/>
      <c r="J48" s="30" t="s">
        <v>989</v>
      </c>
      <c r="K48" s="149"/>
      <c r="L48" s="145" t="s">
        <v>990</v>
      </c>
      <c r="M48" s="144" t="s">
        <v>991</v>
      </c>
      <c r="N48" s="144"/>
      <c r="O48" s="150">
        <v>275</v>
      </c>
      <c r="P48" s="144"/>
    </row>
  </sheetData>
  <pageMargins left="0.7" right="0.7" top="0.75" bottom="0.75" header="0.3" footer="0.3"/>
  <pageSetup scale="39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83"/>
  <sheetViews>
    <sheetView topLeftCell="A52" workbookViewId="0">
      <selection activeCell="A83" sqref="A83:XFD83"/>
    </sheetView>
  </sheetViews>
  <sheetFormatPr defaultRowHeight="12.75" x14ac:dyDescent="0.2"/>
  <cols>
    <col min="1" max="2" width="13.28515625" style="17" customWidth="1"/>
    <col min="3" max="3" width="8.28515625" style="17" customWidth="1"/>
    <col min="4" max="4" width="30.7109375" style="17" customWidth="1"/>
    <col min="5" max="5" width="15.140625" bestFit="1" customWidth="1"/>
    <col min="6" max="6" width="8.28515625" customWidth="1"/>
    <col min="7" max="7" width="30.7109375" style="17" customWidth="1"/>
    <col min="8" max="8" width="20.7109375" customWidth="1"/>
    <col min="9" max="9" width="35.7109375" style="17" customWidth="1"/>
    <col min="10" max="10" width="10.7109375" style="17" customWidth="1"/>
    <col min="11" max="11" width="15.7109375" style="17" customWidth="1"/>
    <col min="12" max="12" width="51.5703125" bestFit="1" customWidth="1"/>
    <col min="13" max="13" width="175.7109375" style="17" customWidth="1"/>
    <col min="14" max="14" width="9.140625" style="17"/>
    <col min="15" max="15" width="10.140625" style="17" customWidth="1"/>
    <col min="16" max="16" width="9.140625" style="17"/>
    <col min="17" max="17" width="11.28515625" style="17" customWidth="1"/>
    <col min="18" max="16384" width="9.140625" style="17"/>
  </cols>
  <sheetData>
    <row r="1" spans="1:13" x14ac:dyDescent="0.2">
      <c r="A1" s="17" t="s">
        <v>451</v>
      </c>
      <c r="B1" s="17" t="s">
        <v>453</v>
      </c>
      <c r="C1" s="17" t="s">
        <v>67</v>
      </c>
      <c r="D1" s="17" t="s">
        <v>454</v>
      </c>
      <c r="E1" s="17" t="s">
        <v>455</v>
      </c>
      <c r="F1" s="17" t="s">
        <v>84</v>
      </c>
      <c r="G1" s="17" t="s">
        <v>452</v>
      </c>
      <c r="H1" s="17" t="s">
        <v>2</v>
      </c>
      <c r="I1" s="17" t="s">
        <v>4</v>
      </c>
      <c r="J1" s="17" t="s">
        <v>3</v>
      </c>
      <c r="K1" s="17" t="s">
        <v>456</v>
      </c>
      <c r="L1" s="17" t="s">
        <v>457</v>
      </c>
      <c r="M1" s="17" t="s">
        <v>118</v>
      </c>
    </row>
    <row r="2" spans="1:13" x14ac:dyDescent="0.2">
      <c r="A2" s="18" t="s">
        <v>450</v>
      </c>
      <c r="B2" s="18" t="s">
        <v>48</v>
      </c>
      <c r="C2" s="18" t="s">
        <v>63</v>
      </c>
      <c r="D2" s="18" t="s">
        <v>34</v>
      </c>
      <c r="E2" s="18" t="s">
        <v>146</v>
      </c>
      <c r="F2" s="18" t="s">
        <v>82</v>
      </c>
      <c r="G2" s="18" t="s">
        <v>40</v>
      </c>
      <c r="H2" s="18" t="s">
        <v>12</v>
      </c>
      <c r="I2" s="18" t="s">
        <v>119</v>
      </c>
      <c r="J2" s="18"/>
      <c r="K2" s="18" t="s">
        <v>85</v>
      </c>
      <c r="L2" s="18" t="s">
        <v>437</v>
      </c>
      <c r="M2" s="18"/>
    </row>
    <row r="3" spans="1:13" x14ac:dyDescent="0.2">
      <c r="A3" s="18" t="s">
        <v>450</v>
      </c>
      <c r="B3" s="18" t="s">
        <v>427</v>
      </c>
      <c r="C3" s="18" t="s">
        <v>49</v>
      </c>
      <c r="D3" s="18" t="s">
        <v>428</v>
      </c>
      <c r="E3" s="18" t="s">
        <v>46</v>
      </c>
      <c r="F3" s="18" t="s">
        <v>56</v>
      </c>
      <c r="G3" s="18" t="s">
        <v>35</v>
      </c>
      <c r="H3" s="18" t="s">
        <v>40</v>
      </c>
      <c r="I3" s="18" t="s">
        <v>429</v>
      </c>
      <c r="J3" s="18"/>
      <c r="K3" s="18" t="s">
        <v>85</v>
      </c>
      <c r="L3" s="18" t="s">
        <v>442</v>
      </c>
      <c r="M3" s="18"/>
    </row>
    <row r="4" spans="1:13" x14ac:dyDescent="0.2">
      <c r="A4" s="18" t="s">
        <v>450</v>
      </c>
      <c r="B4" s="18" t="s">
        <v>430</v>
      </c>
      <c r="C4" s="18" t="s">
        <v>49</v>
      </c>
      <c r="D4" s="18" t="s">
        <v>428</v>
      </c>
      <c r="E4" s="18" t="s">
        <v>48</v>
      </c>
      <c r="F4" s="18" t="s">
        <v>425</v>
      </c>
      <c r="G4" s="18" t="s">
        <v>459</v>
      </c>
      <c r="H4" s="18" t="s">
        <v>12</v>
      </c>
      <c r="I4" s="18" t="s">
        <v>426</v>
      </c>
      <c r="J4" s="18"/>
      <c r="K4" s="18" t="s">
        <v>85</v>
      </c>
      <c r="L4" s="18" t="s">
        <v>442</v>
      </c>
      <c r="M4" s="18"/>
    </row>
    <row r="5" spans="1:13" x14ac:dyDescent="0.2">
      <c r="A5" s="18" t="s">
        <v>450</v>
      </c>
      <c r="B5" s="18" t="s">
        <v>45</v>
      </c>
      <c r="C5" s="18" t="s">
        <v>52</v>
      </c>
      <c r="D5" s="18" t="s">
        <v>458</v>
      </c>
      <c r="E5" s="18" t="s">
        <v>103</v>
      </c>
      <c r="F5" s="18" t="s">
        <v>83</v>
      </c>
      <c r="G5" s="18" t="s">
        <v>23</v>
      </c>
      <c r="H5" s="18" t="s">
        <v>5</v>
      </c>
      <c r="I5" s="18" t="s">
        <v>111</v>
      </c>
      <c r="J5" s="18"/>
      <c r="K5" s="18" t="s">
        <v>86</v>
      </c>
      <c r="L5" s="18" t="s">
        <v>437</v>
      </c>
      <c r="M5" s="18" t="s">
        <v>134</v>
      </c>
    </row>
    <row r="6" spans="1:13" x14ac:dyDescent="0.2">
      <c r="A6" s="18" t="s">
        <v>450</v>
      </c>
      <c r="B6" s="18" t="s">
        <v>45</v>
      </c>
      <c r="C6" s="18" t="s">
        <v>53</v>
      </c>
      <c r="D6" s="18" t="s">
        <v>458</v>
      </c>
      <c r="E6" s="18" t="s">
        <v>69</v>
      </c>
      <c r="F6" s="18" t="s">
        <v>50</v>
      </c>
      <c r="G6" s="18" t="s">
        <v>26</v>
      </c>
      <c r="H6" s="18" t="s">
        <v>15</v>
      </c>
      <c r="I6" s="18" t="s">
        <v>13</v>
      </c>
      <c r="J6" s="18"/>
      <c r="K6" s="18" t="s">
        <v>85</v>
      </c>
      <c r="L6" s="18" t="s">
        <v>95</v>
      </c>
      <c r="M6" s="18"/>
    </row>
    <row r="7" spans="1:13" x14ac:dyDescent="0.2">
      <c r="A7" s="18" t="s">
        <v>450</v>
      </c>
      <c r="B7" s="18" t="s">
        <v>45</v>
      </c>
      <c r="C7" s="18" t="s">
        <v>54</v>
      </c>
      <c r="D7" s="18" t="s">
        <v>458</v>
      </c>
      <c r="E7" s="18" t="s">
        <v>25</v>
      </c>
      <c r="F7" s="18" t="s">
        <v>82</v>
      </c>
      <c r="G7" s="18" t="s">
        <v>21</v>
      </c>
      <c r="H7" s="18" t="s">
        <v>15</v>
      </c>
      <c r="I7" s="18" t="s">
        <v>11</v>
      </c>
      <c r="J7" s="18"/>
      <c r="K7" s="18" t="s">
        <v>85</v>
      </c>
      <c r="L7" s="18" t="s">
        <v>95</v>
      </c>
      <c r="M7" s="18"/>
    </row>
    <row r="8" spans="1:13" x14ac:dyDescent="0.2">
      <c r="A8" s="18" t="s">
        <v>450</v>
      </c>
      <c r="B8" s="18" t="s">
        <v>47</v>
      </c>
      <c r="C8" s="18" t="s">
        <v>51</v>
      </c>
      <c r="D8" s="18" t="s">
        <v>31</v>
      </c>
      <c r="E8" s="18" t="s">
        <v>73</v>
      </c>
      <c r="F8" s="18" t="s">
        <v>81</v>
      </c>
      <c r="G8" s="18" t="s">
        <v>32</v>
      </c>
      <c r="H8" s="18" t="s">
        <v>15</v>
      </c>
      <c r="I8" s="18" t="s">
        <v>116</v>
      </c>
      <c r="J8" s="18"/>
      <c r="K8" s="18" t="s">
        <v>24</v>
      </c>
      <c r="L8" s="18" t="s">
        <v>437</v>
      </c>
      <c r="M8" s="18"/>
    </row>
    <row r="9" spans="1:13" x14ac:dyDescent="0.2">
      <c r="A9" s="18" t="s">
        <v>450</v>
      </c>
      <c r="B9" s="18" t="s">
        <v>47</v>
      </c>
      <c r="C9" s="18" t="s">
        <v>59</v>
      </c>
      <c r="D9" s="18" t="s">
        <v>31</v>
      </c>
      <c r="E9" s="18" t="s">
        <v>74</v>
      </c>
      <c r="F9" s="18" t="s">
        <v>50</v>
      </c>
      <c r="G9" s="18" t="s">
        <v>33</v>
      </c>
      <c r="H9" s="18" t="s">
        <v>15</v>
      </c>
      <c r="I9" s="18" t="s">
        <v>8</v>
      </c>
      <c r="J9" s="18"/>
      <c r="K9" s="18" t="s">
        <v>7</v>
      </c>
      <c r="L9" s="18" t="s">
        <v>443</v>
      </c>
      <c r="M9" s="18"/>
    </row>
    <row r="10" spans="1:13" x14ac:dyDescent="0.2">
      <c r="A10" s="18" t="s">
        <v>450</v>
      </c>
      <c r="B10" s="18" t="s">
        <v>48</v>
      </c>
      <c r="C10" s="18" t="s">
        <v>100</v>
      </c>
      <c r="D10" s="18" t="s">
        <v>34</v>
      </c>
      <c r="E10" s="18" t="s">
        <v>145</v>
      </c>
      <c r="F10" s="18" t="s">
        <v>49</v>
      </c>
      <c r="G10" s="18" t="s">
        <v>144</v>
      </c>
      <c r="H10" s="18" t="s">
        <v>15</v>
      </c>
      <c r="I10" s="18" t="s">
        <v>149</v>
      </c>
      <c r="J10" s="18"/>
      <c r="K10" s="18" t="s">
        <v>89</v>
      </c>
      <c r="L10" s="18" t="s">
        <v>152</v>
      </c>
      <c r="M10" s="18"/>
    </row>
    <row r="11" spans="1:13" x14ac:dyDescent="0.2">
      <c r="A11" s="18" t="s">
        <v>450</v>
      </c>
      <c r="B11" s="18" t="s">
        <v>48</v>
      </c>
      <c r="C11" s="18" t="s">
        <v>65</v>
      </c>
      <c r="D11" s="18" t="s">
        <v>34</v>
      </c>
      <c r="E11" s="18" t="s">
        <v>25</v>
      </c>
      <c r="F11" s="18" t="s">
        <v>60</v>
      </c>
      <c r="G11" s="18" t="s">
        <v>21</v>
      </c>
      <c r="H11" s="18" t="s">
        <v>15</v>
      </c>
      <c r="I11" s="18" t="s">
        <v>16</v>
      </c>
      <c r="J11" s="18"/>
      <c r="K11" s="18" t="s">
        <v>85</v>
      </c>
      <c r="L11" s="18" t="s">
        <v>95</v>
      </c>
      <c r="M11" s="18"/>
    </row>
    <row r="12" spans="1:13" x14ac:dyDescent="0.2">
      <c r="A12" s="18" t="s">
        <v>450</v>
      </c>
      <c r="B12" s="18" t="s">
        <v>46</v>
      </c>
      <c r="C12" s="18" t="s">
        <v>51</v>
      </c>
      <c r="D12" s="18" t="s">
        <v>458</v>
      </c>
      <c r="E12" s="18" t="s">
        <v>47</v>
      </c>
      <c r="F12" s="18" t="s">
        <v>49</v>
      </c>
      <c r="G12" s="18" t="s">
        <v>31</v>
      </c>
      <c r="H12" s="18" t="s">
        <v>39</v>
      </c>
      <c r="I12" s="18" t="s">
        <v>6</v>
      </c>
      <c r="J12" s="18"/>
      <c r="K12" s="18" t="s">
        <v>24</v>
      </c>
      <c r="L12" s="18" t="s">
        <v>95</v>
      </c>
      <c r="M12" s="18"/>
    </row>
    <row r="13" spans="1:13" x14ac:dyDescent="0.2">
      <c r="A13" s="18" t="s">
        <v>450</v>
      </c>
      <c r="B13" s="18" t="s">
        <v>25</v>
      </c>
      <c r="C13" s="18" t="s">
        <v>132</v>
      </c>
      <c r="D13" s="18" t="s">
        <v>36</v>
      </c>
      <c r="E13" s="18" t="s">
        <v>131</v>
      </c>
      <c r="F13" s="18" t="s">
        <v>51</v>
      </c>
      <c r="G13" s="18" t="s">
        <v>130</v>
      </c>
      <c r="H13" s="18" t="s">
        <v>15</v>
      </c>
      <c r="I13" s="18" t="s">
        <v>150</v>
      </c>
      <c r="J13" s="18"/>
      <c r="K13" s="18" t="s">
        <v>89</v>
      </c>
      <c r="L13" s="18" t="s">
        <v>152</v>
      </c>
      <c r="M13" s="18" t="s">
        <v>133</v>
      </c>
    </row>
    <row r="14" spans="1:13" x14ac:dyDescent="0.2">
      <c r="A14" s="18" t="s">
        <v>450</v>
      </c>
      <c r="B14" s="18" t="s">
        <v>25</v>
      </c>
      <c r="C14" s="18" t="s">
        <v>58</v>
      </c>
      <c r="D14" s="18" t="s">
        <v>36</v>
      </c>
      <c r="E14" s="18" t="s">
        <v>69</v>
      </c>
      <c r="F14" s="18" t="s">
        <v>49</v>
      </c>
      <c r="G14" s="18" t="s">
        <v>26</v>
      </c>
      <c r="H14" s="18" t="s">
        <v>15</v>
      </c>
      <c r="I14" s="18" t="s">
        <v>14</v>
      </c>
      <c r="J14" s="18"/>
      <c r="K14" s="18" t="s">
        <v>85</v>
      </c>
      <c r="L14" s="18" t="s">
        <v>95</v>
      </c>
      <c r="M14" s="18"/>
    </row>
    <row r="15" spans="1:13" x14ac:dyDescent="0.2">
      <c r="A15" s="20" t="s">
        <v>450</v>
      </c>
      <c r="B15" s="20" t="s">
        <v>473</v>
      </c>
      <c r="C15" s="21" t="s">
        <v>50</v>
      </c>
      <c r="D15" s="20" t="s">
        <v>444</v>
      </c>
      <c r="E15" s="20" t="s">
        <v>113</v>
      </c>
      <c r="F15" s="22" t="s">
        <v>472</v>
      </c>
      <c r="G15" s="20" t="s">
        <v>445</v>
      </c>
      <c r="H15" s="20" t="s">
        <v>15</v>
      </c>
      <c r="I15" s="20" t="s">
        <v>446</v>
      </c>
      <c r="J15" s="20" t="s">
        <v>460</v>
      </c>
      <c r="K15" s="20" t="s">
        <v>89</v>
      </c>
      <c r="L15" s="20" t="s">
        <v>481</v>
      </c>
      <c r="M15" s="20" t="s">
        <v>447</v>
      </c>
    </row>
    <row r="16" spans="1:13" x14ac:dyDescent="0.2">
      <c r="A16" s="20" t="s">
        <v>450</v>
      </c>
      <c r="B16" s="20" t="s">
        <v>474</v>
      </c>
      <c r="C16" s="21" t="s">
        <v>50</v>
      </c>
      <c r="D16" s="20" t="s">
        <v>444</v>
      </c>
      <c r="E16" s="20" t="s">
        <v>25</v>
      </c>
      <c r="F16" s="21" t="s">
        <v>132</v>
      </c>
      <c r="G16" s="20" t="s">
        <v>21</v>
      </c>
      <c r="H16" s="20" t="s">
        <v>15</v>
      </c>
      <c r="I16" s="20" t="s">
        <v>449</v>
      </c>
      <c r="J16" s="20" t="s">
        <v>460</v>
      </c>
      <c r="K16" s="20" t="s">
        <v>89</v>
      </c>
      <c r="L16" s="20" t="s">
        <v>481</v>
      </c>
      <c r="M16" s="20" t="s">
        <v>448</v>
      </c>
    </row>
    <row r="17" spans="1:14" x14ac:dyDescent="0.2">
      <c r="A17" s="20" t="s">
        <v>450</v>
      </c>
      <c r="B17" s="20" t="s">
        <v>25</v>
      </c>
      <c r="C17" s="20" t="s">
        <v>49</v>
      </c>
      <c r="D17" s="20" t="s">
        <v>36</v>
      </c>
      <c r="E17" s="20" t="s">
        <v>80</v>
      </c>
      <c r="F17" s="20" t="s">
        <v>50</v>
      </c>
      <c r="G17" s="20" t="s">
        <v>470</v>
      </c>
      <c r="H17" s="20" t="s">
        <v>15</v>
      </c>
      <c r="I17" s="20" t="s">
        <v>10</v>
      </c>
      <c r="J17" s="20" t="s">
        <v>460</v>
      </c>
      <c r="K17" s="20" t="s">
        <v>24</v>
      </c>
      <c r="L17" s="20" t="s">
        <v>480</v>
      </c>
      <c r="M17" s="20"/>
    </row>
    <row r="18" spans="1:14" x14ac:dyDescent="0.2">
      <c r="A18" s="20" t="s">
        <v>466</v>
      </c>
      <c r="B18" s="20" t="s">
        <v>48</v>
      </c>
      <c r="C18" s="20" t="s">
        <v>61</v>
      </c>
      <c r="D18" s="20" t="s">
        <v>34</v>
      </c>
      <c r="E18" s="20" t="s">
        <v>76</v>
      </c>
      <c r="F18" s="20" t="s">
        <v>50</v>
      </c>
      <c r="G18" s="20" t="s">
        <v>467</v>
      </c>
      <c r="H18" s="20" t="s">
        <v>19</v>
      </c>
      <c r="I18" s="20" t="s">
        <v>20</v>
      </c>
      <c r="J18" s="20" t="s">
        <v>460</v>
      </c>
      <c r="K18" s="20" t="s">
        <v>85</v>
      </c>
      <c r="L18" s="20" t="s">
        <v>483</v>
      </c>
      <c r="M18" s="20"/>
    </row>
    <row r="19" spans="1:14" x14ac:dyDescent="0.2">
      <c r="A19" s="18" t="s">
        <v>450</v>
      </c>
      <c r="B19" s="18" t="s">
        <v>45</v>
      </c>
      <c r="C19" s="18" t="s">
        <v>53</v>
      </c>
      <c r="D19" s="18" t="s">
        <v>458</v>
      </c>
      <c r="E19" s="18" t="s">
        <v>127</v>
      </c>
      <c r="F19" s="18" t="s">
        <v>49</v>
      </c>
      <c r="G19" s="18" t="s">
        <v>463</v>
      </c>
      <c r="H19" s="18" t="s">
        <v>128</v>
      </c>
      <c r="I19" s="18" t="s">
        <v>129</v>
      </c>
      <c r="J19" s="18"/>
      <c r="K19" s="18" t="s">
        <v>142</v>
      </c>
      <c r="L19" s="18" t="s">
        <v>153</v>
      </c>
      <c r="M19" s="18" t="s">
        <v>478</v>
      </c>
    </row>
    <row r="20" spans="1:14" x14ac:dyDescent="0.2">
      <c r="A20" s="18" t="s">
        <v>462</v>
      </c>
      <c r="B20" s="18" t="s">
        <v>44</v>
      </c>
      <c r="C20" s="18" t="s">
        <v>100</v>
      </c>
      <c r="D20" s="18" t="s">
        <v>458</v>
      </c>
      <c r="E20" s="18" t="s">
        <v>92</v>
      </c>
      <c r="F20" s="18" t="s">
        <v>102</v>
      </c>
      <c r="G20" s="18" t="s">
        <v>464</v>
      </c>
      <c r="H20" s="18" t="s">
        <v>42</v>
      </c>
      <c r="I20" s="18" t="s">
        <v>94</v>
      </c>
      <c r="J20" s="18" t="s">
        <v>460</v>
      </c>
      <c r="K20" s="18" t="s">
        <v>89</v>
      </c>
      <c r="L20" s="20" t="s">
        <v>515</v>
      </c>
      <c r="M20" s="18"/>
    </row>
    <row r="21" spans="1:14" x14ac:dyDescent="0.2">
      <c r="A21" s="18" t="s">
        <v>450</v>
      </c>
      <c r="B21" s="18"/>
      <c r="C21" s="18"/>
      <c r="D21" s="18" t="s">
        <v>458</v>
      </c>
      <c r="E21" s="18"/>
      <c r="F21" s="18"/>
      <c r="G21" s="18" t="s">
        <v>431</v>
      </c>
      <c r="H21" s="18" t="s">
        <v>128</v>
      </c>
      <c r="I21" s="18" t="s">
        <v>432</v>
      </c>
      <c r="J21" s="18"/>
      <c r="K21" s="18"/>
      <c r="L21" s="18" t="s">
        <v>433</v>
      </c>
      <c r="M21" s="18" t="s">
        <v>477</v>
      </c>
    </row>
    <row r="22" spans="1:14" x14ac:dyDescent="0.2">
      <c r="A22" s="24" t="s">
        <v>450</v>
      </c>
      <c r="B22" s="24" t="s">
        <v>486</v>
      </c>
      <c r="C22" s="24" t="s">
        <v>66</v>
      </c>
      <c r="D22" s="24" t="s">
        <v>36</v>
      </c>
      <c r="E22" s="24" t="s">
        <v>79</v>
      </c>
      <c r="F22" s="24" t="s">
        <v>81</v>
      </c>
      <c r="G22" s="24" t="s">
        <v>471</v>
      </c>
      <c r="H22" s="24" t="s">
        <v>40</v>
      </c>
      <c r="I22" s="24" t="s">
        <v>90</v>
      </c>
      <c r="J22" s="24" t="s">
        <v>460</v>
      </c>
      <c r="K22" s="24" t="s">
        <v>22</v>
      </c>
      <c r="L22" s="24" t="s">
        <v>514</v>
      </c>
      <c r="M22" s="24"/>
    </row>
    <row r="23" spans="1:14" x14ac:dyDescent="0.2">
      <c r="A23" s="25" t="s">
        <v>502</v>
      </c>
      <c r="B23" s="25" t="s">
        <v>48</v>
      </c>
      <c r="C23" s="26" t="s">
        <v>51</v>
      </c>
      <c r="D23" s="25" t="s">
        <v>34</v>
      </c>
      <c r="E23" s="25" t="s">
        <v>500</v>
      </c>
      <c r="F23" s="26" t="s">
        <v>124</v>
      </c>
      <c r="G23" s="25" t="s">
        <v>501</v>
      </c>
      <c r="H23" s="25" t="s">
        <v>19</v>
      </c>
      <c r="I23" s="25"/>
      <c r="J23" s="25" t="s">
        <v>460</v>
      </c>
      <c r="K23" s="25" t="s">
        <v>143</v>
      </c>
      <c r="L23" s="25" t="s">
        <v>485</v>
      </c>
      <c r="M23" s="25"/>
    </row>
    <row r="24" spans="1:14" x14ac:dyDescent="0.2">
      <c r="A24" s="25" t="s">
        <v>502</v>
      </c>
      <c r="B24" s="25" t="s">
        <v>486</v>
      </c>
      <c r="C24" s="26" t="s">
        <v>102</v>
      </c>
      <c r="D24" s="25" t="s">
        <v>36</v>
      </c>
      <c r="E24" s="25" t="s">
        <v>497</v>
      </c>
      <c r="F24" s="26" t="s">
        <v>132</v>
      </c>
      <c r="G24" s="25" t="s">
        <v>498</v>
      </c>
      <c r="H24" s="25" t="s">
        <v>19</v>
      </c>
      <c r="I24" s="25" t="s">
        <v>499</v>
      </c>
      <c r="J24" s="25" t="s">
        <v>460</v>
      </c>
      <c r="K24" s="25" t="s">
        <v>105</v>
      </c>
      <c r="L24" s="25"/>
      <c r="M24" s="25"/>
    </row>
    <row r="25" spans="1:14" x14ac:dyDescent="0.2">
      <c r="A25" s="25" t="s">
        <v>502</v>
      </c>
      <c r="B25" s="25" t="s">
        <v>486</v>
      </c>
      <c r="C25" s="26" t="s">
        <v>495</v>
      </c>
      <c r="D25" s="25" t="s">
        <v>36</v>
      </c>
      <c r="E25" s="25" t="s">
        <v>503</v>
      </c>
      <c r="F25" s="26" t="s">
        <v>104</v>
      </c>
      <c r="G25" s="25" t="s">
        <v>504</v>
      </c>
      <c r="H25" s="25" t="s">
        <v>19</v>
      </c>
      <c r="I25" s="25"/>
      <c r="J25" s="25" t="s">
        <v>460</v>
      </c>
      <c r="K25" s="25" t="s">
        <v>143</v>
      </c>
      <c r="L25" s="25" t="s">
        <v>496</v>
      </c>
      <c r="M25" s="25" t="s">
        <v>505</v>
      </c>
    </row>
    <row r="26" spans="1:14" x14ac:dyDescent="0.2">
      <c r="A26" s="25" t="s">
        <v>502</v>
      </c>
      <c r="B26" s="25" t="s">
        <v>486</v>
      </c>
      <c r="C26" s="26" t="s">
        <v>492</v>
      </c>
      <c r="D26" s="25" t="s">
        <v>36</v>
      </c>
      <c r="E26" s="25" t="s">
        <v>493</v>
      </c>
      <c r="F26" s="26" t="s">
        <v>472</v>
      </c>
      <c r="G26" s="25" t="s">
        <v>494</v>
      </c>
      <c r="H26" s="25" t="s">
        <v>19</v>
      </c>
      <c r="I26" s="25"/>
      <c r="J26" s="25" t="s">
        <v>460</v>
      </c>
      <c r="K26" s="25" t="s">
        <v>143</v>
      </c>
      <c r="L26" s="25" t="s">
        <v>491</v>
      </c>
      <c r="M26" s="25"/>
    </row>
    <row r="27" spans="1:14" x14ac:dyDescent="0.2">
      <c r="A27" s="25" t="s">
        <v>502</v>
      </c>
      <c r="B27" s="25" t="s">
        <v>486</v>
      </c>
      <c r="C27" s="26" t="s">
        <v>125</v>
      </c>
      <c r="D27" s="25" t="s">
        <v>36</v>
      </c>
      <c r="E27" s="25" t="s">
        <v>503</v>
      </c>
      <c r="F27" s="26" t="s">
        <v>124</v>
      </c>
      <c r="G27" s="25" t="s">
        <v>504</v>
      </c>
      <c r="H27" s="25" t="s">
        <v>19</v>
      </c>
      <c r="I27" s="25"/>
      <c r="J27" s="25" t="s">
        <v>460</v>
      </c>
      <c r="K27" s="25" t="s">
        <v>143</v>
      </c>
      <c r="L27" s="25" t="s">
        <v>487</v>
      </c>
      <c r="M27" s="25" t="s">
        <v>506</v>
      </c>
    </row>
    <row r="28" spans="1:14" x14ac:dyDescent="0.2">
      <c r="A28" s="25" t="s">
        <v>502</v>
      </c>
      <c r="B28" s="25" t="s">
        <v>486</v>
      </c>
      <c r="C28" s="26" t="s">
        <v>488</v>
      </c>
      <c r="D28" s="25" t="s">
        <v>36</v>
      </c>
      <c r="E28" s="25" t="s">
        <v>489</v>
      </c>
      <c r="F28" s="26" t="s">
        <v>472</v>
      </c>
      <c r="G28" s="25" t="s">
        <v>490</v>
      </c>
      <c r="H28" s="25" t="s">
        <v>19</v>
      </c>
      <c r="I28" s="25"/>
      <c r="J28" s="25" t="s">
        <v>460</v>
      </c>
      <c r="K28" s="25" t="s">
        <v>143</v>
      </c>
      <c r="L28" s="25" t="s">
        <v>491</v>
      </c>
      <c r="M28" s="25"/>
    </row>
    <row r="29" spans="1:14" x14ac:dyDescent="0.2">
      <c r="A29" s="27" t="s">
        <v>450</v>
      </c>
      <c r="B29" s="27" t="s">
        <v>48</v>
      </c>
      <c r="C29" s="27" t="s">
        <v>49</v>
      </c>
      <c r="D29" s="27" t="s">
        <v>34</v>
      </c>
      <c r="E29" s="27" t="s">
        <v>74</v>
      </c>
      <c r="F29" s="27" t="s">
        <v>81</v>
      </c>
      <c r="G29" s="27" t="s">
        <v>469</v>
      </c>
      <c r="H29" s="27" t="s">
        <v>12</v>
      </c>
      <c r="I29" s="27" t="s">
        <v>147</v>
      </c>
      <c r="J29" s="27" t="s">
        <v>460</v>
      </c>
      <c r="K29" s="27" t="s">
        <v>142</v>
      </c>
      <c r="L29" s="27" t="s">
        <v>527</v>
      </c>
      <c r="M29" s="27" t="s">
        <v>148</v>
      </c>
    </row>
    <row r="30" spans="1:14" x14ac:dyDescent="0.2">
      <c r="A30" s="36" t="s">
        <v>15</v>
      </c>
      <c r="B30" s="37" t="s">
        <v>99</v>
      </c>
      <c r="C30" s="37" t="s">
        <v>530</v>
      </c>
      <c r="D30" s="38" t="s">
        <v>517</v>
      </c>
      <c r="E30" s="38" t="s">
        <v>45</v>
      </c>
      <c r="F30" s="38" t="s">
        <v>50</v>
      </c>
      <c r="G30" s="38" t="s">
        <v>538</v>
      </c>
      <c r="H30" s="38" t="s">
        <v>34</v>
      </c>
      <c r="I30" s="38" t="s">
        <v>48</v>
      </c>
      <c r="J30" s="38" t="s">
        <v>82</v>
      </c>
      <c r="K30" s="38" t="s">
        <v>460</v>
      </c>
      <c r="L30" s="38" t="s">
        <v>89</v>
      </c>
      <c r="M30" s="38" t="s">
        <v>555</v>
      </c>
      <c r="N30" s="39" t="s">
        <v>136</v>
      </c>
    </row>
    <row r="31" spans="1:14" x14ac:dyDescent="0.2">
      <c r="A31" s="36" t="s">
        <v>15</v>
      </c>
      <c r="B31" s="37" t="s">
        <v>121</v>
      </c>
      <c r="C31" s="37" t="s">
        <v>538</v>
      </c>
      <c r="D31" s="38" t="s">
        <v>34</v>
      </c>
      <c r="E31" s="38" t="s">
        <v>48</v>
      </c>
      <c r="F31" s="38" t="s">
        <v>125</v>
      </c>
      <c r="G31" s="38" t="s">
        <v>537</v>
      </c>
      <c r="H31" s="38" t="s">
        <v>518</v>
      </c>
      <c r="I31" s="38" t="s">
        <v>486</v>
      </c>
      <c r="J31" s="38" t="s">
        <v>52</v>
      </c>
      <c r="K31" s="38" t="s">
        <v>460</v>
      </c>
      <c r="L31" s="38" t="s">
        <v>89</v>
      </c>
      <c r="M31" s="38" t="s">
        <v>556</v>
      </c>
      <c r="N31" s="39"/>
    </row>
    <row r="32" spans="1:14" x14ac:dyDescent="0.2">
      <c r="A32" s="3" t="s">
        <v>128</v>
      </c>
      <c r="B32" s="41" t="s">
        <v>507</v>
      </c>
      <c r="C32" s="41" t="s">
        <v>530</v>
      </c>
      <c r="D32" s="3" t="s">
        <v>517</v>
      </c>
      <c r="E32" s="3"/>
      <c r="F32" s="3"/>
      <c r="G32" s="3"/>
      <c r="H32" s="3" t="s">
        <v>431</v>
      </c>
      <c r="I32" s="3"/>
      <c r="J32" s="3"/>
      <c r="K32" s="3"/>
      <c r="L32" s="3"/>
      <c r="M32" s="3" t="s">
        <v>584</v>
      </c>
      <c r="N32" s="3" t="s">
        <v>508</v>
      </c>
    </row>
    <row r="33" spans="1:14" x14ac:dyDescent="0.2">
      <c r="A33" s="42" t="s">
        <v>15</v>
      </c>
      <c r="B33" s="43" t="s">
        <v>91</v>
      </c>
      <c r="C33" s="43" t="s">
        <v>530</v>
      </c>
      <c r="D33" s="44" t="s">
        <v>517</v>
      </c>
      <c r="E33" s="44" t="s">
        <v>45</v>
      </c>
      <c r="F33" s="44" t="s">
        <v>54</v>
      </c>
      <c r="G33" s="44" t="s">
        <v>544</v>
      </c>
      <c r="H33" s="44" t="s">
        <v>545</v>
      </c>
      <c r="I33" s="44" t="s">
        <v>101</v>
      </c>
      <c r="J33" s="44" t="s">
        <v>81</v>
      </c>
      <c r="K33" s="44" t="s">
        <v>460</v>
      </c>
      <c r="L33" s="44" t="s">
        <v>143</v>
      </c>
      <c r="M33" s="44" t="s">
        <v>582</v>
      </c>
      <c r="N33" s="39" t="s">
        <v>135</v>
      </c>
    </row>
    <row r="34" spans="1:14" x14ac:dyDescent="0.2">
      <c r="A34" s="45" t="s">
        <v>12</v>
      </c>
      <c r="B34" s="48" t="s">
        <v>38</v>
      </c>
      <c r="C34" s="48" t="s">
        <v>532</v>
      </c>
      <c r="D34" s="46" t="s">
        <v>516</v>
      </c>
      <c r="E34" s="46" t="s">
        <v>46</v>
      </c>
      <c r="F34" s="46" t="s">
        <v>54</v>
      </c>
      <c r="G34" s="46"/>
      <c r="H34" s="46" t="s">
        <v>597</v>
      </c>
      <c r="I34" s="46" t="s">
        <v>72</v>
      </c>
      <c r="J34" s="46" t="s">
        <v>61</v>
      </c>
      <c r="K34" s="46" t="s">
        <v>460</v>
      </c>
      <c r="L34" s="46" t="s">
        <v>85</v>
      </c>
      <c r="M34" s="46"/>
      <c r="N34" s="47"/>
    </row>
    <row r="35" spans="1:14" x14ac:dyDescent="0.2">
      <c r="A35" s="45" t="s">
        <v>40</v>
      </c>
      <c r="B35" s="46" t="s">
        <v>583</v>
      </c>
      <c r="C35" s="46" t="s">
        <v>587</v>
      </c>
      <c r="D35" s="46" t="s">
        <v>588</v>
      </c>
      <c r="E35" s="46" t="s">
        <v>589</v>
      </c>
      <c r="F35" s="46" t="s">
        <v>50</v>
      </c>
      <c r="G35" s="46" t="s">
        <v>530</v>
      </c>
      <c r="H35" s="46" t="s">
        <v>517</v>
      </c>
      <c r="I35" s="46" t="s">
        <v>44</v>
      </c>
      <c r="J35" s="46" t="s">
        <v>593</v>
      </c>
      <c r="K35" s="46" t="s">
        <v>460</v>
      </c>
      <c r="L35" s="46" t="s">
        <v>594</v>
      </c>
      <c r="M35" s="46" t="s">
        <v>595</v>
      </c>
      <c r="N35" s="47"/>
    </row>
    <row r="36" spans="1:14" x14ac:dyDescent="0.2">
      <c r="A36" s="54" t="s">
        <v>15</v>
      </c>
      <c r="B36" s="55" t="s">
        <v>151</v>
      </c>
      <c r="C36" s="55" t="s">
        <v>538</v>
      </c>
      <c r="D36" s="56" t="s">
        <v>34</v>
      </c>
      <c r="E36" s="56" t="s">
        <v>48</v>
      </c>
      <c r="F36" s="56" t="s">
        <v>114</v>
      </c>
      <c r="G36" s="56"/>
      <c r="H36" s="56" t="s">
        <v>551</v>
      </c>
      <c r="I36" s="56" t="s">
        <v>115</v>
      </c>
      <c r="J36" s="56" t="s">
        <v>50</v>
      </c>
      <c r="K36" s="56" t="s">
        <v>460</v>
      </c>
      <c r="L36" s="56" t="s">
        <v>439</v>
      </c>
      <c r="M36" s="52"/>
      <c r="N36" s="53" t="s">
        <v>441</v>
      </c>
    </row>
    <row r="37" spans="1:14" x14ac:dyDescent="0.2">
      <c r="A37" s="59" t="s">
        <v>12</v>
      </c>
      <c r="B37" s="60">
        <v>36610</v>
      </c>
      <c r="C37" s="60" t="s">
        <v>538</v>
      </c>
      <c r="D37" s="61" t="s">
        <v>34</v>
      </c>
      <c r="E37" s="61" t="s">
        <v>48</v>
      </c>
      <c r="F37" s="61" t="s">
        <v>96</v>
      </c>
      <c r="G37" s="61"/>
      <c r="H37" s="61" t="s">
        <v>468</v>
      </c>
      <c r="I37" s="61" t="s">
        <v>75</v>
      </c>
      <c r="J37" s="61" t="s">
        <v>81</v>
      </c>
      <c r="K37" s="61" t="s">
        <v>460</v>
      </c>
      <c r="L37" s="61" t="s">
        <v>123</v>
      </c>
      <c r="M37" s="46" t="s">
        <v>601</v>
      </c>
      <c r="N37" s="47" t="s">
        <v>97</v>
      </c>
    </row>
    <row r="38" spans="1:14" x14ac:dyDescent="0.2">
      <c r="A38" s="62" t="s">
        <v>15</v>
      </c>
      <c r="B38" s="63" t="s">
        <v>108</v>
      </c>
      <c r="C38" s="63" t="s">
        <v>538</v>
      </c>
      <c r="D38" s="64" t="s">
        <v>34</v>
      </c>
      <c r="E38" s="64" t="s">
        <v>48</v>
      </c>
      <c r="F38" s="64" t="s">
        <v>60</v>
      </c>
      <c r="G38" s="64" t="s">
        <v>544</v>
      </c>
      <c r="H38" s="64" t="s">
        <v>545</v>
      </c>
      <c r="I38" s="64" t="s">
        <v>106</v>
      </c>
      <c r="J38" s="64" t="s">
        <v>50</v>
      </c>
      <c r="K38" s="64" t="s">
        <v>460</v>
      </c>
      <c r="L38" s="64" t="s">
        <v>105</v>
      </c>
      <c r="M38" s="44" t="s">
        <v>582</v>
      </c>
      <c r="N38" s="39"/>
    </row>
    <row r="39" spans="1:14" x14ac:dyDescent="0.2">
      <c r="A39" s="62" t="s">
        <v>15</v>
      </c>
      <c r="B39" s="63" t="s">
        <v>17</v>
      </c>
      <c r="C39" s="63" t="s">
        <v>538</v>
      </c>
      <c r="D39" s="64" t="s">
        <v>34</v>
      </c>
      <c r="E39" s="64" t="s">
        <v>48</v>
      </c>
      <c r="F39" s="64" t="s">
        <v>64</v>
      </c>
      <c r="G39" s="64" t="s">
        <v>548</v>
      </c>
      <c r="H39" s="64" t="s">
        <v>549</v>
      </c>
      <c r="I39" s="64" t="s">
        <v>68</v>
      </c>
      <c r="J39" s="64" t="s">
        <v>51</v>
      </c>
      <c r="K39" s="64" t="s">
        <v>460</v>
      </c>
      <c r="L39" s="64" t="s">
        <v>85</v>
      </c>
      <c r="M39" s="44" t="s">
        <v>546</v>
      </c>
    </row>
    <row r="40" spans="1:14" x14ac:dyDescent="0.2">
      <c r="A40" s="58" t="s">
        <v>15</v>
      </c>
      <c r="B40" s="52" t="s">
        <v>580</v>
      </c>
      <c r="C40" s="52" t="s">
        <v>557</v>
      </c>
      <c r="D40" s="52" t="s">
        <v>558</v>
      </c>
      <c r="E40" s="52" t="s">
        <v>559</v>
      </c>
      <c r="F40" s="52" t="s">
        <v>49</v>
      </c>
      <c r="G40" s="52" t="s">
        <v>534</v>
      </c>
      <c r="H40" s="52" t="s">
        <v>535</v>
      </c>
      <c r="I40" s="52" t="s">
        <v>536</v>
      </c>
      <c r="J40" s="52" t="s">
        <v>81</v>
      </c>
      <c r="K40" s="52" t="s">
        <v>460</v>
      </c>
      <c r="L40" s="52" t="s">
        <v>85</v>
      </c>
      <c r="M40" s="52" t="s">
        <v>581</v>
      </c>
      <c r="N40" s="53" t="s">
        <v>579</v>
      </c>
    </row>
    <row r="41" spans="1:14" x14ac:dyDescent="0.2">
      <c r="A41" s="45" t="s">
        <v>19</v>
      </c>
      <c r="B41" s="48"/>
      <c r="C41" s="48"/>
      <c r="D41" s="46" t="s">
        <v>34</v>
      </c>
      <c r="E41" s="46" t="s">
        <v>48</v>
      </c>
      <c r="F41" s="46" t="s">
        <v>62</v>
      </c>
      <c r="G41" s="46"/>
      <c r="H41" s="46" t="s">
        <v>560</v>
      </c>
      <c r="I41" s="46" t="s">
        <v>561</v>
      </c>
      <c r="J41" s="46" t="s">
        <v>104</v>
      </c>
      <c r="K41" s="46" t="s">
        <v>460</v>
      </c>
      <c r="L41" s="46" t="s">
        <v>143</v>
      </c>
      <c r="M41" s="46" t="s">
        <v>562</v>
      </c>
      <c r="N41" s="47"/>
    </row>
    <row r="42" spans="1:14" x14ac:dyDescent="0.2">
      <c r="A42" s="54" t="s">
        <v>19</v>
      </c>
      <c r="B42" s="55"/>
      <c r="C42" s="55"/>
      <c r="D42" s="56" t="s">
        <v>34</v>
      </c>
      <c r="E42" s="56" t="s">
        <v>48</v>
      </c>
      <c r="F42" s="56" t="s">
        <v>62</v>
      </c>
      <c r="G42" s="56"/>
      <c r="H42" s="56" t="s">
        <v>564</v>
      </c>
      <c r="I42" s="56" t="s">
        <v>563</v>
      </c>
      <c r="J42" s="56" t="s">
        <v>484</v>
      </c>
      <c r="K42" s="56" t="s">
        <v>460</v>
      </c>
      <c r="L42" s="52" t="s">
        <v>143</v>
      </c>
      <c r="M42" s="52" t="s">
        <v>562</v>
      </c>
      <c r="N42" s="53"/>
    </row>
    <row r="43" spans="1:14" x14ac:dyDescent="0.2">
      <c r="A43" s="59" t="s">
        <v>19</v>
      </c>
      <c r="B43" s="60"/>
      <c r="C43" s="60"/>
      <c r="D43" s="61" t="s">
        <v>34</v>
      </c>
      <c r="E43" s="61" t="s">
        <v>48</v>
      </c>
      <c r="F43" s="61" t="s">
        <v>62</v>
      </c>
      <c r="G43" s="61"/>
      <c r="H43" s="61" t="s">
        <v>565</v>
      </c>
      <c r="I43" s="61" t="s">
        <v>566</v>
      </c>
      <c r="J43" s="61" t="s">
        <v>484</v>
      </c>
      <c r="K43" s="61" t="s">
        <v>460</v>
      </c>
      <c r="L43" s="46" t="s">
        <v>143</v>
      </c>
      <c r="M43" s="46" t="s">
        <v>562</v>
      </c>
      <c r="N43" s="47"/>
    </row>
    <row r="44" spans="1:14" x14ac:dyDescent="0.2">
      <c r="A44" s="54" t="s">
        <v>19</v>
      </c>
      <c r="B44" s="55"/>
      <c r="C44" s="55"/>
      <c r="D44" s="56" t="s">
        <v>34</v>
      </c>
      <c r="E44" s="56" t="s">
        <v>48</v>
      </c>
      <c r="F44" s="56" t="s">
        <v>62</v>
      </c>
      <c r="G44" s="56"/>
      <c r="H44" s="56" t="s">
        <v>567</v>
      </c>
      <c r="I44" s="56" t="s">
        <v>568</v>
      </c>
      <c r="J44" s="56" t="s">
        <v>484</v>
      </c>
      <c r="K44" s="56" t="s">
        <v>460</v>
      </c>
      <c r="L44" s="52" t="s">
        <v>143</v>
      </c>
      <c r="M44" s="52" t="s">
        <v>562</v>
      </c>
      <c r="N44" s="53"/>
    </row>
    <row r="45" spans="1:14" x14ac:dyDescent="0.2">
      <c r="A45" s="66" t="s">
        <v>19</v>
      </c>
      <c r="B45" s="67"/>
      <c r="C45" s="67"/>
      <c r="D45" s="68" t="s">
        <v>34</v>
      </c>
      <c r="E45" s="68" t="s">
        <v>48</v>
      </c>
      <c r="F45" s="68" t="s">
        <v>62</v>
      </c>
      <c r="G45" s="68"/>
      <c r="H45" s="68" t="s">
        <v>501</v>
      </c>
      <c r="I45" s="68" t="s">
        <v>569</v>
      </c>
      <c r="J45" s="68" t="s">
        <v>104</v>
      </c>
      <c r="K45" s="68" t="s">
        <v>460</v>
      </c>
      <c r="L45" s="46" t="s">
        <v>143</v>
      </c>
      <c r="M45" s="46" t="s">
        <v>562</v>
      </c>
      <c r="N45" s="47"/>
    </row>
    <row r="46" spans="1:14" x14ac:dyDescent="0.2">
      <c r="A46" s="58" t="s">
        <v>19</v>
      </c>
      <c r="B46" s="57"/>
      <c r="C46" s="57"/>
      <c r="D46" s="52" t="s">
        <v>518</v>
      </c>
      <c r="E46" s="52" t="s">
        <v>486</v>
      </c>
      <c r="F46" s="52" t="s">
        <v>125</v>
      </c>
      <c r="G46" s="52"/>
      <c r="H46" s="52" t="s">
        <v>570</v>
      </c>
      <c r="I46" s="52" t="s">
        <v>571</v>
      </c>
      <c r="J46" s="52" t="s">
        <v>102</v>
      </c>
      <c r="K46" s="52" t="s">
        <v>460</v>
      </c>
      <c r="L46" s="52"/>
      <c r="M46" s="52" t="s">
        <v>572</v>
      </c>
      <c r="N46" s="53"/>
    </row>
    <row r="47" spans="1:14" x14ac:dyDescent="0.2">
      <c r="A47" s="45" t="s">
        <v>19</v>
      </c>
      <c r="B47" s="48"/>
      <c r="C47" s="48"/>
      <c r="D47" s="46" t="s">
        <v>518</v>
      </c>
      <c r="E47" s="46" t="s">
        <v>486</v>
      </c>
      <c r="F47" s="46" t="s">
        <v>488</v>
      </c>
      <c r="G47" s="46"/>
      <c r="H47" s="46" t="s">
        <v>573</v>
      </c>
      <c r="I47" s="46" t="s">
        <v>574</v>
      </c>
      <c r="J47" s="46" t="s">
        <v>132</v>
      </c>
      <c r="K47" s="46" t="s">
        <v>460</v>
      </c>
      <c r="L47" s="46"/>
      <c r="M47" s="46" t="s">
        <v>572</v>
      </c>
      <c r="N47" s="47"/>
    </row>
    <row r="48" spans="1:14" x14ac:dyDescent="0.2">
      <c r="A48" s="58" t="s">
        <v>19</v>
      </c>
      <c r="B48" s="52"/>
      <c r="C48" s="52"/>
      <c r="D48" s="52" t="s">
        <v>518</v>
      </c>
      <c r="E48" s="52" t="s">
        <v>486</v>
      </c>
      <c r="F48" s="52" t="s">
        <v>495</v>
      </c>
      <c r="G48" s="52"/>
      <c r="H48" s="52" t="s">
        <v>564</v>
      </c>
      <c r="I48" s="52" t="s">
        <v>563</v>
      </c>
      <c r="J48" s="52" t="s">
        <v>104</v>
      </c>
      <c r="K48" s="52" t="s">
        <v>460</v>
      </c>
      <c r="L48" s="52"/>
      <c r="M48" s="52" t="s">
        <v>562</v>
      </c>
      <c r="N48" s="53"/>
    </row>
    <row r="49" spans="1:17" x14ac:dyDescent="0.2">
      <c r="A49" s="45" t="s">
        <v>19</v>
      </c>
      <c r="B49" s="46"/>
      <c r="C49" s="46"/>
      <c r="D49" s="46" t="s">
        <v>518</v>
      </c>
      <c r="E49" s="46" t="s">
        <v>486</v>
      </c>
      <c r="F49" s="46" t="s">
        <v>492</v>
      </c>
      <c r="G49" s="46"/>
      <c r="H49" s="46" t="s">
        <v>575</v>
      </c>
      <c r="I49" s="46" t="s">
        <v>576</v>
      </c>
      <c r="J49" s="46" t="s">
        <v>124</v>
      </c>
      <c r="K49" s="46" t="s">
        <v>460</v>
      </c>
      <c r="L49" s="46"/>
      <c r="M49" s="46" t="s">
        <v>562</v>
      </c>
      <c r="N49" s="47"/>
    </row>
    <row r="50" spans="1:17" x14ac:dyDescent="0.2">
      <c r="A50" s="58" t="s">
        <v>19</v>
      </c>
      <c r="B50" s="52"/>
      <c r="C50" s="52"/>
      <c r="D50" s="52" t="s">
        <v>518</v>
      </c>
      <c r="E50" s="52" t="s">
        <v>486</v>
      </c>
      <c r="F50" s="52" t="s">
        <v>492</v>
      </c>
      <c r="G50" s="52"/>
      <c r="H50" s="52" t="s">
        <v>577</v>
      </c>
      <c r="I50" s="52" t="s">
        <v>578</v>
      </c>
      <c r="J50" s="52" t="s">
        <v>124</v>
      </c>
      <c r="K50" s="52" t="s">
        <v>460</v>
      </c>
      <c r="L50" s="52"/>
      <c r="M50" s="52" t="s">
        <v>562</v>
      </c>
      <c r="N50" s="53"/>
    </row>
    <row r="51" spans="1:17" x14ac:dyDescent="0.2">
      <c r="A51" s="45" t="s">
        <v>19</v>
      </c>
      <c r="B51" s="46"/>
      <c r="C51" s="46"/>
      <c r="D51" s="46" t="s">
        <v>518</v>
      </c>
      <c r="E51" s="46" t="s">
        <v>486</v>
      </c>
      <c r="F51" s="46" t="s">
        <v>495</v>
      </c>
      <c r="G51" s="46"/>
      <c r="H51" s="46" t="s">
        <v>567</v>
      </c>
      <c r="I51" s="46" t="s">
        <v>568</v>
      </c>
      <c r="J51" s="46" t="s">
        <v>104</v>
      </c>
      <c r="K51" s="46" t="s">
        <v>460</v>
      </c>
      <c r="L51" s="46"/>
      <c r="M51" s="46" t="s">
        <v>562</v>
      </c>
      <c r="N51" s="47"/>
    </row>
    <row r="52" spans="1:17" x14ac:dyDescent="0.2">
      <c r="A52" s="45" t="s">
        <v>15</v>
      </c>
      <c r="B52" s="46" t="s">
        <v>522</v>
      </c>
      <c r="C52" s="46" t="s">
        <v>534</v>
      </c>
      <c r="D52" s="46" t="s">
        <v>535</v>
      </c>
      <c r="E52" s="46" t="s">
        <v>536</v>
      </c>
      <c r="F52" s="71" t="s">
        <v>49</v>
      </c>
      <c r="G52" s="46" t="s">
        <v>538</v>
      </c>
      <c r="H52" s="46" t="s">
        <v>34</v>
      </c>
      <c r="I52" s="46" t="s">
        <v>48</v>
      </c>
      <c r="J52" s="72" t="s">
        <v>112</v>
      </c>
      <c r="K52" s="46" t="s">
        <v>460</v>
      </c>
      <c r="L52" s="46" t="s">
        <v>89</v>
      </c>
      <c r="M52" s="72"/>
      <c r="N52" s="47"/>
    </row>
    <row r="53" spans="1:17" x14ac:dyDescent="0.2">
      <c r="A53" s="45" t="s">
        <v>12</v>
      </c>
      <c r="B53" s="48" t="s">
        <v>37</v>
      </c>
      <c r="C53" s="48" t="s">
        <v>552</v>
      </c>
      <c r="D53" s="46" t="s">
        <v>553</v>
      </c>
      <c r="E53" s="46" t="s">
        <v>46</v>
      </c>
      <c r="F53" s="46" t="s">
        <v>53</v>
      </c>
      <c r="G53" s="46" t="s">
        <v>538</v>
      </c>
      <c r="H53" s="46" t="s">
        <v>34</v>
      </c>
      <c r="I53" s="46" t="s">
        <v>48</v>
      </c>
      <c r="J53" s="46" t="s">
        <v>83</v>
      </c>
      <c r="K53" s="46" t="s">
        <v>460</v>
      </c>
      <c r="L53" s="46" t="s">
        <v>85</v>
      </c>
      <c r="M53" s="46"/>
      <c r="N53" s="47" t="s">
        <v>140</v>
      </c>
    </row>
    <row r="54" spans="1:17" x14ac:dyDescent="0.2">
      <c r="A54" s="45" t="s">
        <v>15</v>
      </c>
      <c r="B54" s="48" t="s">
        <v>107</v>
      </c>
      <c r="C54" s="48" t="s">
        <v>542</v>
      </c>
      <c r="D54" s="46" t="s">
        <v>543</v>
      </c>
      <c r="E54" s="46" t="s">
        <v>110</v>
      </c>
      <c r="F54" s="46" t="s">
        <v>511</v>
      </c>
      <c r="G54" s="73" t="s">
        <v>538</v>
      </c>
      <c r="H54" s="46" t="s">
        <v>34</v>
      </c>
      <c r="I54" s="46" t="s">
        <v>533</v>
      </c>
      <c r="J54" s="46" t="s">
        <v>82</v>
      </c>
      <c r="K54" s="46" t="s">
        <v>460</v>
      </c>
      <c r="L54" s="46" t="s">
        <v>123</v>
      </c>
      <c r="M54" s="46" t="s">
        <v>612</v>
      </c>
      <c r="N54" s="47"/>
    </row>
    <row r="55" spans="1:17" x14ac:dyDescent="0.2">
      <c r="A55" s="36" t="s">
        <v>9</v>
      </c>
      <c r="B55" s="37"/>
      <c r="C55" s="37" t="s">
        <v>537</v>
      </c>
      <c r="D55" s="38" t="s">
        <v>518</v>
      </c>
      <c r="E55" s="38" t="s">
        <v>486</v>
      </c>
      <c r="F55" s="38" t="s">
        <v>126</v>
      </c>
      <c r="G55" s="38"/>
      <c r="H55" s="38" t="s">
        <v>9</v>
      </c>
      <c r="I55" s="38" t="s">
        <v>77</v>
      </c>
      <c r="J55" s="38" t="s">
        <v>83</v>
      </c>
      <c r="K55" s="38" t="s">
        <v>460</v>
      </c>
      <c r="L55" s="38" t="s">
        <v>24</v>
      </c>
      <c r="M55" s="38"/>
      <c r="N55" s="38" t="s">
        <v>43</v>
      </c>
      <c r="O55" s="79"/>
    </row>
    <row r="56" spans="1:17" x14ac:dyDescent="0.2">
      <c r="A56" s="36" t="s">
        <v>9</v>
      </c>
      <c r="B56" s="37"/>
      <c r="C56" s="37" t="s">
        <v>537</v>
      </c>
      <c r="D56" s="38" t="s">
        <v>518</v>
      </c>
      <c r="E56" s="38" t="s">
        <v>486</v>
      </c>
      <c r="F56" s="38" t="s">
        <v>64</v>
      </c>
      <c r="G56" s="38"/>
      <c r="H56" s="38" t="s">
        <v>9</v>
      </c>
      <c r="I56" s="38" t="s">
        <v>77</v>
      </c>
      <c r="J56" s="38" t="s">
        <v>50</v>
      </c>
      <c r="K56" s="38" t="s">
        <v>460</v>
      </c>
      <c r="L56" s="38" t="s">
        <v>24</v>
      </c>
      <c r="M56" s="38"/>
      <c r="N56" s="38" t="s">
        <v>43</v>
      </c>
      <c r="O56" s="79"/>
    </row>
    <row r="57" spans="1:17" x14ac:dyDescent="0.2">
      <c r="A57" s="3" t="s">
        <v>15</v>
      </c>
      <c r="B57" s="3" t="s">
        <v>631</v>
      </c>
      <c r="C57" s="3" t="s">
        <v>634</v>
      </c>
      <c r="D57" s="3" t="s">
        <v>628</v>
      </c>
      <c r="E57" s="3" t="s">
        <v>629</v>
      </c>
      <c r="F57" s="80" t="s">
        <v>63</v>
      </c>
      <c r="G57" s="3" t="s">
        <v>532</v>
      </c>
      <c r="H57" s="3" t="s">
        <v>516</v>
      </c>
      <c r="I57" s="3" t="s">
        <v>533</v>
      </c>
      <c r="J57" s="80" t="s">
        <v>58</v>
      </c>
      <c r="K57" s="3" t="s">
        <v>460</v>
      </c>
      <c r="L57" s="3" t="s">
        <v>143</v>
      </c>
      <c r="M57" s="3" t="s">
        <v>630</v>
      </c>
      <c r="N57" s="3" t="s">
        <v>637</v>
      </c>
      <c r="O57" s="3"/>
    </row>
    <row r="58" spans="1:17" x14ac:dyDescent="0.2">
      <c r="A58" s="3" t="s">
        <v>15</v>
      </c>
      <c r="B58" s="3" t="s">
        <v>633</v>
      </c>
      <c r="C58" s="3" t="s">
        <v>635</v>
      </c>
      <c r="D58" s="3" t="s">
        <v>627</v>
      </c>
      <c r="E58" s="3" t="s">
        <v>626</v>
      </c>
      <c r="F58" s="80" t="s">
        <v>57</v>
      </c>
      <c r="G58" s="3" t="s">
        <v>530</v>
      </c>
      <c r="H58" s="3" t="s">
        <v>517</v>
      </c>
      <c r="I58" s="3" t="s">
        <v>44</v>
      </c>
      <c r="J58" s="80" t="s">
        <v>624</v>
      </c>
      <c r="K58" s="3" t="s">
        <v>460</v>
      </c>
      <c r="L58" s="3" t="s">
        <v>632</v>
      </c>
      <c r="M58" s="3"/>
      <c r="N58" s="3" t="s">
        <v>637</v>
      </c>
      <c r="O58" s="3"/>
    </row>
    <row r="59" spans="1:17" x14ac:dyDescent="0.2">
      <c r="A59" s="94" t="s">
        <v>15</v>
      </c>
      <c r="B59" s="95" t="s">
        <v>644</v>
      </c>
      <c r="C59" s="95" t="s">
        <v>677</v>
      </c>
      <c r="D59" s="95" t="s">
        <v>532</v>
      </c>
      <c r="E59" s="95" t="s">
        <v>516</v>
      </c>
      <c r="F59" s="95" t="s">
        <v>533</v>
      </c>
      <c r="G59" s="96" t="s">
        <v>102</v>
      </c>
      <c r="H59" s="95" t="s">
        <v>636</v>
      </c>
      <c r="I59" s="95" t="s">
        <v>645</v>
      </c>
      <c r="J59" s="95"/>
      <c r="K59" s="95"/>
      <c r="L59" s="95"/>
      <c r="M59" s="95"/>
      <c r="N59" s="95"/>
      <c r="O59" s="92"/>
      <c r="P59" s="93"/>
    </row>
    <row r="60" spans="1:17" x14ac:dyDescent="0.2">
      <c r="A60" s="85" t="s">
        <v>12</v>
      </c>
      <c r="B60" s="86" t="s">
        <v>651</v>
      </c>
      <c r="C60" s="86" t="s">
        <v>672</v>
      </c>
      <c r="D60" s="86" t="s">
        <v>532</v>
      </c>
      <c r="E60" s="85" t="s">
        <v>725</v>
      </c>
      <c r="F60" s="85" t="s">
        <v>533</v>
      </c>
      <c r="G60" s="85" t="s">
        <v>54</v>
      </c>
      <c r="H60" s="85" t="s">
        <v>599</v>
      </c>
      <c r="I60" s="85" t="s">
        <v>726</v>
      </c>
      <c r="J60" s="85" t="s">
        <v>72</v>
      </c>
      <c r="K60" s="98" t="s">
        <v>61</v>
      </c>
      <c r="L60" s="85" t="s">
        <v>460</v>
      </c>
      <c r="M60" s="85" t="s">
        <v>85</v>
      </c>
      <c r="N60" s="85" t="s">
        <v>704</v>
      </c>
      <c r="O60" s="85"/>
      <c r="P60" s="85"/>
      <c r="Q60" s="85" t="s">
        <v>603</v>
      </c>
    </row>
    <row r="61" spans="1:17" x14ac:dyDescent="0.2">
      <c r="A61" s="85" t="s">
        <v>539</v>
      </c>
      <c r="B61" s="86">
        <v>20391</v>
      </c>
      <c r="C61" s="86" t="s">
        <v>671</v>
      </c>
      <c r="D61" s="86" t="s">
        <v>530</v>
      </c>
      <c r="E61" s="85" t="s">
        <v>730</v>
      </c>
      <c r="F61" s="85" t="s">
        <v>45</v>
      </c>
      <c r="G61" s="85" t="s">
        <v>55</v>
      </c>
      <c r="H61" s="85" t="s">
        <v>599</v>
      </c>
      <c r="I61" s="85" t="s">
        <v>726</v>
      </c>
      <c r="J61" s="85" t="s">
        <v>70</v>
      </c>
      <c r="K61" s="85" t="s">
        <v>50</v>
      </c>
      <c r="L61" s="85" t="s">
        <v>460</v>
      </c>
      <c r="M61" s="85" t="s">
        <v>85</v>
      </c>
      <c r="N61" s="85"/>
      <c r="O61" s="85"/>
      <c r="P61" s="85" t="s">
        <v>461</v>
      </c>
      <c r="Q61" s="85"/>
    </row>
    <row r="62" spans="1:17" x14ac:dyDescent="0.2">
      <c r="A62" s="3" t="s">
        <v>40</v>
      </c>
      <c r="B62" s="41" t="s">
        <v>804</v>
      </c>
      <c r="C62" s="41" t="s">
        <v>646</v>
      </c>
      <c r="D62" s="41" t="s">
        <v>530</v>
      </c>
      <c r="E62" s="3" t="s">
        <v>730</v>
      </c>
      <c r="F62" s="3" t="s">
        <v>44</v>
      </c>
      <c r="G62" s="80" t="s">
        <v>512</v>
      </c>
      <c r="H62" s="80" t="s">
        <v>550</v>
      </c>
      <c r="I62" s="3" t="s">
        <v>724</v>
      </c>
      <c r="J62" s="3" t="s">
        <v>513</v>
      </c>
      <c r="K62" s="105" t="s">
        <v>83</v>
      </c>
      <c r="L62" s="3" t="s">
        <v>460</v>
      </c>
      <c r="M62" s="3" t="s">
        <v>607</v>
      </c>
      <c r="N62" s="3"/>
      <c r="O62" s="3"/>
      <c r="P62" s="3"/>
      <c r="Q62" s="3" t="s">
        <v>526</v>
      </c>
    </row>
    <row r="63" spans="1:17" x14ac:dyDescent="0.2">
      <c r="A63" s="3" t="s">
        <v>40</v>
      </c>
      <c r="B63" s="3" t="s">
        <v>767</v>
      </c>
      <c r="C63" s="3" t="s">
        <v>791</v>
      </c>
      <c r="D63" s="3" t="s">
        <v>530</v>
      </c>
      <c r="E63" s="3" t="s">
        <v>730</v>
      </c>
      <c r="F63" s="3"/>
      <c r="G63" s="3"/>
      <c r="H63" s="3" t="s">
        <v>550</v>
      </c>
      <c r="I63" s="3" t="s">
        <v>724</v>
      </c>
      <c r="J63" s="3"/>
      <c r="K63" s="3"/>
      <c r="L63" s="3" t="s">
        <v>680</v>
      </c>
      <c r="M63" s="3"/>
      <c r="N63" s="3"/>
      <c r="O63" s="3"/>
      <c r="P63" s="3" t="s">
        <v>775</v>
      </c>
      <c r="Q63" s="3"/>
    </row>
    <row r="64" spans="1:17" x14ac:dyDescent="0.2">
      <c r="A64" s="3" t="s">
        <v>40</v>
      </c>
      <c r="B64" s="3" t="s">
        <v>774</v>
      </c>
      <c r="C64" s="3" t="s">
        <v>791</v>
      </c>
      <c r="D64" s="3" t="s">
        <v>530</v>
      </c>
      <c r="E64" s="3" t="s">
        <v>730</v>
      </c>
      <c r="F64" s="3"/>
      <c r="G64" s="3"/>
      <c r="H64" s="3" t="s">
        <v>550</v>
      </c>
      <c r="I64" s="3" t="s">
        <v>724</v>
      </c>
      <c r="J64" s="3"/>
      <c r="K64" s="3"/>
      <c r="L64" s="3"/>
      <c r="M64" s="3"/>
      <c r="N64" s="3"/>
      <c r="O64" s="3"/>
      <c r="P64" s="3" t="s">
        <v>768</v>
      </c>
      <c r="Q64" s="3"/>
    </row>
    <row r="65" spans="1:20" x14ac:dyDescent="0.2">
      <c r="A65" s="42" t="s">
        <v>242</v>
      </c>
      <c r="B65" s="44" t="s">
        <v>828</v>
      </c>
      <c r="C65" s="44"/>
      <c r="D65" s="44" t="s">
        <v>530</v>
      </c>
      <c r="E65" s="44" t="s">
        <v>730</v>
      </c>
      <c r="F65" s="44"/>
      <c r="G65" s="44"/>
      <c r="H65" s="44" t="s">
        <v>829</v>
      </c>
      <c r="I65" s="44" t="s">
        <v>830</v>
      </c>
      <c r="J65" s="44"/>
      <c r="K65" s="44"/>
      <c r="L65" s="44" t="s">
        <v>680</v>
      </c>
      <c r="M65" s="44" t="s">
        <v>681</v>
      </c>
      <c r="N65" s="44" t="s">
        <v>798</v>
      </c>
      <c r="O65" s="44"/>
      <c r="P65" s="44" t="s">
        <v>832</v>
      </c>
      <c r="Q65" s="39"/>
    </row>
    <row r="66" spans="1:20" x14ac:dyDescent="0.2">
      <c r="A66" s="42" t="s">
        <v>242</v>
      </c>
      <c r="B66" s="44" t="s">
        <v>831</v>
      </c>
      <c r="C66" s="44"/>
      <c r="D66" s="44" t="s">
        <v>530</v>
      </c>
      <c r="E66" s="44" t="s">
        <v>730</v>
      </c>
      <c r="F66" s="44"/>
      <c r="G66" s="44"/>
      <c r="H66" s="44" t="s">
        <v>829</v>
      </c>
      <c r="I66" s="44" t="s">
        <v>830</v>
      </c>
      <c r="J66" s="44"/>
      <c r="K66" s="44"/>
      <c r="L66" s="44" t="s">
        <v>680</v>
      </c>
      <c r="M66" s="44" t="s">
        <v>681</v>
      </c>
      <c r="N66" s="44" t="s">
        <v>798</v>
      </c>
      <c r="O66" s="44"/>
      <c r="P66" s="44" t="s">
        <v>832</v>
      </c>
      <c r="Q66" s="39"/>
    </row>
    <row r="67" spans="1:20" x14ac:dyDescent="0.2">
      <c r="A67" s="42" t="s">
        <v>242</v>
      </c>
      <c r="B67" s="44" t="s">
        <v>833</v>
      </c>
      <c r="C67" s="44"/>
      <c r="D67" s="44" t="s">
        <v>800</v>
      </c>
      <c r="E67" s="44" t="s">
        <v>801</v>
      </c>
      <c r="F67" s="44"/>
      <c r="G67" s="44"/>
      <c r="H67" s="44" t="s">
        <v>834</v>
      </c>
      <c r="I67" s="44" t="s">
        <v>730</v>
      </c>
      <c r="J67" s="44"/>
      <c r="K67" s="44"/>
      <c r="L67" s="44" t="s">
        <v>680</v>
      </c>
      <c r="M67" s="44" t="s">
        <v>681</v>
      </c>
      <c r="N67" s="44" t="s">
        <v>798</v>
      </c>
      <c r="O67" s="44"/>
      <c r="P67" s="44" t="s">
        <v>832</v>
      </c>
      <c r="Q67" s="39"/>
    </row>
    <row r="68" spans="1:20" x14ac:dyDescent="0.2">
      <c r="A68" s="3" t="s">
        <v>794</v>
      </c>
      <c r="B68" s="41" t="s">
        <v>438</v>
      </c>
      <c r="C68" s="41" t="s">
        <v>664</v>
      </c>
      <c r="D68" s="41" t="s">
        <v>530</v>
      </c>
      <c r="E68" s="3" t="s">
        <v>730</v>
      </c>
      <c r="F68" s="3" t="s">
        <v>45</v>
      </c>
      <c r="G68" s="80" t="s">
        <v>52</v>
      </c>
      <c r="H68" s="80" t="s">
        <v>540</v>
      </c>
      <c r="I68" s="3" t="s">
        <v>611</v>
      </c>
      <c r="J68" s="3" t="s">
        <v>440</v>
      </c>
      <c r="K68" s="80" t="s">
        <v>49</v>
      </c>
      <c r="L68" s="3" t="s">
        <v>460</v>
      </c>
      <c r="M68" s="3" t="s">
        <v>143</v>
      </c>
      <c r="N68" s="3"/>
      <c r="O68" s="3"/>
      <c r="P68" s="3" t="s">
        <v>441</v>
      </c>
      <c r="Q68" s="3" t="s">
        <v>972</v>
      </c>
    </row>
    <row r="69" spans="1:20" x14ac:dyDescent="0.2">
      <c r="A69" s="3" t="s">
        <v>794</v>
      </c>
      <c r="B69" s="41" t="s">
        <v>109</v>
      </c>
      <c r="C69" s="3" t="s">
        <v>674</v>
      </c>
      <c r="D69" s="41" t="s">
        <v>534</v>
      </c>
      <c r="E69" s="3" t="s">
        <v>731</v>
      </c>
      <c r="F69" s="3" t="s">
        <v>536</v>
      </c>
      <c r="G69" s="80" t="s">
        <v>81</v>
      </c>
      <c r="H69" s="3" t="s">
        <v>540</v>
      </c>
      <c r="I69" s="3" t="s">
        <v>611</v>
      </c>
      <c r="J69" s="3" t="s">
        <v>440</v>
      </c>
      <c r="K69" s="80" t="s">
        <v>50</v>
      </c>
      <c r="L69" s="3" t="s">
        <v>460</v>
      </c>
      <c r="M69" s="3" t="s">
        <v>439</v>
      </c>
      <c r="N69" s="3" t="s">
        <v>704</v>
      </c>
      <c r="O69" s="3"/>
      <c r="P69" s="3"/>
      <c r="Q69" s="3" t="s">
        <v>117</v>
      </c>
    </row>
    <row r="70" spans="1:20" x14ac:dyDescent="0.2">
      <c r="A70" s="18" t="s">
        <v>794</v>
      </c>
      <c r="B70" s="30" t="s">
        <v>476</v>
      </c>
      <c r="C70" s="30" t="s">
        <v>647</v>
      </c>
      <c r="D70" s="30" t="s">
        <v>537</v>
      </c>
      <c r="E70" s="18" t="s">
        <v>723</v>
      </c>
      <c r="F70" s="18" t="s">
        <v>486</v>
      </c>
      <c r="G70" s="33" t="s">
        <v>479</v>
      </c>
      <c r="H70" s="32" t="s">
        <v>541</v>
      </c>
      <c r="I70" s="18" t="s">
        <v>728</v>
      </c>
      <c r="J70" s="18" t="s">
        <v>80</v>
      </c>
      <c r="K70" s="32" t="s">
        <v>50</v>
      </c>
      <c r="L70" s="18" t="s">
        <v>460</v>
      </c>
      <c r="M70" s="18" t="s">
        <v>143</v>
      </c>
      <c r="N70" s="91" t="s">
        <v>704</v>
      </c>
      <c r="O70"/>
      <c r="P70" s="18"/>
      <c r="Q70" s="18"/>
    </row>
    <row r="71" spans="1:20" x14ac:dyDescent="0.2">
      <c r="A71" s="85" t="s">
        <v>794</v>
      </c>
      <c r="B71" s="86" t="s">
        <v>18</v>
      </c>
      <c r="C71" s="86" t="s">
        <v>665</v>
      </c>
      <c r="D71" s="86" t="s">
        <v>530</v>
      </c>
      <c r="E71" s="85" t="s">
        <v>730</v>
      </c>
      <c r="F71" s="85" t="s">
        <v>45</v>
      </c>
      <c r="G71" s="85" t="s">
        <v>56</v>
      </c>
      <c r="H71" s="85" t="s">
        <v>547</v>
      </c>
      <c r="I71" s="85" t="s">
        <v>608</v>
      </c>
      <c r="J71" s="85" t="s">
        <v>71</v>
      </c>
      <c r="K71" s="85" t="s">
        <v>50</v>
      </c>
      <c r="L71" s="85" t="s">
        <v>460</v>
      </c>
      <c r="M71" s="85" t="s">
        <v>123</v>
      </c>
      <c r="N71" s="85"/>
      <c r="O71" s="85"/>
      <c r="P71" s="85"/>
      <c r="Q71" s="85" t="s">
        <v>137</v>
      </c>
    </row>
    <row r="72" spans="1:20" x14ac:dyDescent="0.2">
      <c r="A72" s="86" t="s">
        <v>794</v>
      </c>
      <c r="B72" s="86" t="s">
        <v>604</v>
      </c>
      <c r="C72" s="85" t="s">
        <v>673</v>
      </c>
      <c r="D72" s="86" t="s">
        <v>532</v>
      </c>
      <c r="E72" s="85" t="s">
        <v>725</v>
      </c>
      <c r="F72" s="85" t="s">
        <v>533</v>
      </c>
      <c r="G72" s="98" t="s">
        <v>82</v>
      </c>
      <c r="H72" s="85" t="s">
        <v>542</v>
      </c>
      <c r="I72" s="85" t="s">
        <v>727</v>
      </c>
      <c r="J72" s="85" t="s">
        <v>110</v>
      </c>
      <c r="K72" s="98" t="s">
        <v>511</v>
      </c>
      <c r="L72" s="85" t="s">
        <v>460</v>
      </c>
      <c r="M72" s="85" t="s">
        <v>123</v>
      </c>
      <c r="N72" s="99" t="s">
        <v>704</v>
      </c>
      <c r="O72" s="85"/>
      <c r="P72" s="85" t="s">
        <v>827</v>
      </c>
      <c r="Q72" s="85"/>
    </row>
    <row r="73" spans="1:20" x14ac:dyDescent="0.2">
      <c r="A73" s="58" t="s">
        <v>40</v>
      </c>
      <c r="B73" s="57" t="s">
        <v>509</v>
      </c>
      <c r="C73" s="57" t="s">
        <v>537</v>
      </c>
      <c r="D73" s="52" t="s">
        <v>723</v>
      </c>
      <c r="E73" s="52" t="s">
        <v>486</v>
      </c>
      <c r="F73" s="139" t="s">
        <v>510</v>
      </c>
      <c r="G73" s="139"/>
      <c r="H73" s="52" t="s">
        <v>729</v>
      </c>
      <c r="I73" s="52" t="s">
        <v>79</v>
      </c>
      <c r="J73" s="139" t="s">
        <v>511</v>
      </c>
      <c r="K73" s="52" t="s">
        <v>460</v>
      </c>
      <c r="L73" s="52" t="s">
        <v>85</v>
      </c>
      <c r="M73" s="138" t="s">
        <v>704</v>
      </c>
      <c r="N73" s="52"/>
      <c r="O73" s="52"/>
      <c r="P73" s="53"/>
    </row>
    <row r="74" spans="1:20" x14ac:dyDescent="0.2">
      <c r="A74" s="85" t="s">
        <v>794</v>
      </c>
      <c r="B74" s="86" t="s">
        <v>120</v>
      </c>
      <c r="C74" s="86" t="s">
        <v>666</v>
      </c>
      <c r="D74" s="86" t="s">
        <v>530</v>
      </c>
      <c r="E74" s="85" t="s">
        <v>730</v>
      </c>
      <c r="F74" s="85" t="s">
        <v>113</v>
      </c>
      <c r="G74" s="85" t="s">
        <v>49</v>
      </c>
      <c r="H74" s="85" t="s">
        <v>838</v>
      </c>
      <c r="I74" s="85" t="s">
        <v>722</v>
      </c>
      <c r="J74" s="85" t="s">
        <v>598</v>
      </c>
      <c r="K74" s="85" t="s">
        <v>112</v>
      </c>
      <c r="L74" s="85" t="s">
        <v>460</v>
      </c>
      <c r="M74" s="85" t="s">
        <v>89</v>
      </c>
      <c r="N74" s="85"/>
      <c r="O74" s="85"/>
      <c r="P74" s="85" t="s">
        <v>818</v>
      </c>
      <c r="Q74" s="85" t="s">
        <v>141</v>
      </c>
    </row>
    <row r="75" spans="1:20" x14ac:dyDescent="0.2">
      <c r="A75" s="25" t="s">
        <v>1017</v>
      </c>
      <c r="B75" s="25" t="s">
        <v>1015</v>
      </c>
      <c r="C75" s="85" t="s">
        <v>794</v>
      </c>
      <c r="D75" s="85" t="s">
        <v>585</v>
      </c>
      <c r="E75" s="85" t="s">
        <v>445</v>
      </c>
      <c r="F75" s="85" t="s">
        <v>530</v>
      </c>
      <c r="G75" s="85" t="s">
        <v>1018</v>
      </c>
      <c r="H75" s="85" t="s">
        <v>45</v>
      </c>
      <c r="I75" s="98" t="s">
        <v>51</v>
      </c>
      <c r="J75" s="85" t="s">
        <v>1027</v>
      </c>
      <c r="K75" s="85" t="s">
        <v>532</v>
      </c>
      <c r="L75" s="85" t="s">
        <v>1037</v>
      </c>
      <c r="M75" s="98" t="s">
        <v>533</v>
      </c>
      <c r="N75" s="85" t="s">
        <v>50</v>
      </c>
      <c r="O75" s="85" t="s">
        <v>460</v>
      </c>
      <c r="P75" s="112" t="s">
        <v>89</v>
      </c>
      <c r="Q75" s="85" t="s">
        <v>704</v>
      </c>
      <c r="R75" s="98"/>
      <c r="S75" s="85"/>
      <c r="T75" s="18" t="s">
        <v>840</v>
      </c>
    </row>
    <row r="76" spans="1:20" x14ac:dyDescent="0.2">
      <c r="A76" s="151" t="s">
        <v>1008</v>
      </c>
      <c r="B76" s="151" t="s">
        <v>1001</v>
      </c>
      <c r="C76" s="6" t="s">
        <v>794</v>
      </c>
      <c r="D76" s="108">
        <v>441164530</v>
      </c>
      <c r="E76" s="108" t="s">
        <v>1027</v>
      </c>
      <c r="F76" s="108" t="s">
        <v>532</v>
      </c>
      <c r="G76" s="108" t="s">
        <v>1037</v>
      </c>
      <c r="H76" s="6" t="s">
        <v>533</v>
      </c>
      <c r="I76" s="6" t="s">
        <v>583</v>
      </c>
      <c r="J76" s="6" t="s">
        <v>1054</v>
      </c>
      <c r="K76" s="6" t="s">
        <v>835</v>
      </c>
      <c r="L76" s="6" t="s">
        <v>1055</v>
      </c>
      <c r="M76" s="6" t="s">
        <v>836</v>
      </c>
      <c r="N76" s="6" t="s">
        <v>583</v>
      </c>
      <c r="O76" s="6" t="s">
        <v>460</v>
      </c>
      <c r="P76" s="6" t="s">
        <v>89</v>
      </c>
      <c r="Q76" s="6"/>
      <c r="R76" s="6"/>
      <c r="S76" s="6"/>
      <c r="T76" s="18" t="s">
        <v>997</v>
      </c>
    </row>
    <row r="77" spans="1:20" x14ac:dyDescent="0.2">
      <c r="A77" s="151" t="s">
        <v>1008</v>
      </c>
      <c r="B77" s="151" t="s">
        <v>1001</v>
      </c>
      <c r="C77" s="109" t="s">
        <v>794</v>
      </c>
      <c r="D77" s="110">
        <v>441193161</v>
      </c>
      <c r="E77" s="110" t="s">
        <v>1047</v>
      </c>
      <c r="F77" s="110" t="s">
        <v>534</v>
      </c>
      <c r="G77" s="108" t="s">
        <v>1049</v>
      </c>
      <c r="H77" s="6" t="s">
        <v>536</v>
      </c>
      <c r="I77" s="6" t="s">
        <v>583</v>
      </c>
      <c r="J77" s="6" t="s">
        <v>1045</v>
      </c>
      <c r="K77" s="6" t="s">
        <v>837</v>
      </c>
      <c r="L77" s="6" t="s">
        <v>1056</v>
      </c>
      <c r="M77" s="6" t="s">
        <v>145</v>
      </c>
      <c r="N77" s="6" t="s">
        <v>583</v>
      </c>
      <c r="O77" s="6" t="s">
        <v>460</v>
      </c>
      <c r="P77" s="6" t="s">
        <v>89</v>
      </c>
      <c r="Q77" s="6"/>
      <c r="R77" s="6"/>
      <c r="S77" s="6"/>
      <c r="T77" s="18" t="s">
        <v>997</v>
      </c>
    </row>
    <row r="78" spans="1:20" x14ac:dyDescent="0.2">
      <c r="A78" s="18" t="s">
        <v>1007</v>
      </c>
      <c r="B78" s="18" t="s">
        <v>1014</v>
      </c>
      <c r="C78" s="18" t="s">
        <v>40</v>
      </c>
      <c r="D78" s="18" t="s">
        <v>747</v>
      </c>
      <c r="E78" s="18" t="s">
        <v>445</v>
      </c>
      <c r="F78" t="s">
        <v>530</v>
      </c>
      <c r="G78" t="s">
        <v>1018</v>
      </c>
      <c r="I78"/>
      <c r="J78" t="s">
        <v>445</v>
      </c>
      <c r="K78"/>
      <c r="L78" t="s">
        <v>468</v>
      </c>
      <c r="M78"/>
      <c r="N78"/>
      <c r="O78" t="s">
        <v>742</v>
      </c>
      <c r="P78"/>
      <c r="Q78"/>
      <c r="R78"/>
      <c r="S78" t="s">
        <v>748</v>
      </c>
      <c r="T78" s="18"/>
    </row>
    <row r="79" spans="1:20" x14ac:dyDescent="0.2">
      <c r="A79" s="18" t="s">
        <v>1007</v>
      </c>
      <c r="B79" s="18" t="s">
        <v>1014</v>
      </c>
      <c r="C79" s="18" t="s">
        <v>40</v>
      </c>
      <c r="D79" s="18" t="s">
        <v>749</v>
      </c>
      <c r="E79" s="18" t="s">
        <v>445</v>
      </c>
      <c r="F79" t="s">
        <v>530</v>
      </c>
      <c r="G79" t="s">
        <v>1018</v>
      </c>
      <c r="I79"/>
      <c r="J79" t="s">
        <v>445</v>
      </c>
      <c r="K79"/>
      <c r="L79" t="s">
        <v>468</v>
      </c>
      <c r="M79"/>
      <c r="N79"/>
      <c r="O79" t="s">
        <v>745</v>
      </c>
      <c r="P79"/>
      <c r="Q79"/>
      <c r="R79"/>
      <c r="S79" t="s">
        <v>750</v>
      </c>
      <c r="T79" s="18"/>
    </row>
    <row r="80" spans="1:20" x14ac:dyDescent="0.2">
      <c r="A80" s="18" t="s">
        <v>1007</v>
      </c>
      <c r="B80" s="18" t="s">
        <v>1014</v>
      </c>
      <c r="C80" t="s">
        <v>40</v>
      </c>
      <c r="D80" s="18" t="s">
        <v>776</v>
      </c>
      <c r="E80" s="18" t="s">
        <v>445</v>
      </c>
      <c r="F80" t="s">
        <v>530</v>
      </c>
      <c r="G80" t="s">
        <v>1018</v>
      </c>
      <c r="I80"/>
      <c r="J80" t="s">
        <v>445</v>
      </c>
      <c r="K80" t="s">
        <v>820</v>
      </c>
      <c r="L80" t="s">
        <v>1030</v>
      </c>
      <c r="M80"/>
      <c r="N80"/>
      <c r="O80" t="s">
        <v>680</v>
      </c>
      <c r="P80"/>
      <c r="Q80"/>
      <c r="R80"/>
      <c r="S80"/>
      <c r="T80" s="18"/>
    </row>
    <row r="81" spans="1:20" x14ac:dyDescent="0.2">
      <c r="A81" s="18" t="s">
        <v>1007</v>
      </c>
      <c r="B81" s="18" t="s">
        <v>1014</v>
      </c>
      <c r="C81" t="s">
        <v>40</v>
      </c>
      <c r="D81" s="18" t="s">
        <v>778</v>
      </c>
      <c r="E81" s="18" t="s">
        <v>445</v>
      </c>
      <c r="F81" t="s">
        <v>530</v>
      </c>
      <c r="G81" t="s">
        <v>1018</v>
      </c>
      <c r="I81"/>
      <c r="J81" t="s">
        <v>445</v>
      </c>
      <c r="K81" t="s">
        <v>820</v>
      </c>
      <c r="L81" t="s">
        <v>1030</v>
      </c>
      <c r="M81"/>
      <c r="N81"/>
      <c r="O81" t="s">
        <v>680</v>
      </c>
      <c r="P81"/>
      <c r="Q81"/>
      <c r="R81"/>
      <c r="S81"/>
      <c r="T81" s="18"/>
    </row>
    <row r="82" spans="1:20" x14ac:dyDescent="0.2">
      <c r="A82" s="18" t="s">
        <v>1017</v>
      </c>
      <c r="B82" s="18" t="s">
        <v>1015</v>
      </c>
      <c r="C82" s="18" t="s">
        <v>794</v>
      </c>
      <c r="D82" s="18" t="s">
        <v>524</v>
      </c>
      <c r="E82" s="18" t="s">
        <v>1047</v>
      </c>
      <c r="F82" s="18" t="s">
        <v>534</v>
      </c>
      <c r="G82" t="s">
        <v>1049</v>
      </c>
      <c r="H82" s="18" t="s">
        <v>536</v>
      </c>
      <c r="I82" s="32" t="s">
        <v>50</v>
      </c>
      <c r="J82" s="18" t="s">
        <v>1047</v>
      </c>
      <c r="K82" t="s">
        <v>532</v>
      </c>
      <c r="L82" s="18" t="s">
        <v>1037</v>
      </c>
      <c r="M82" s="32" t="s">
        <v>533</v>
      </c>
      <c r="N82" s="18" t="s">
        <v>49</v>
      </c>
      <c r="O82" s="18" t="s">
        <v>460</v>
      </c>
      <c r="P82" t="s">
        <v>89</v>
      </c>
      <c r="Q82" t="s">
        <v>714</v>
      </c>
      <c r="R82" s="32" t="s">
        <v>715</v>
      </c>
      <c r="S82" s="18"/>
      <c r="T82" s="18"/>
    </row>
    <row r="83" spans="1:20" x14ac:dyDescent="0.2">
      <c r="A83" t="s">
        <v>1075</v>
      </c>
      <c r="B83" s="135" t="s">
        <v>1014</v>
      </c>
      <c r="C83" s="135" t="s">
        <v>591</v>
      </c>
      <c r="D83" s="135" t="s">
        <v>1076</v>
      </c>
      <c r="E83" s="135" t="s">
        <v>1047</v>
      </c>
      <c r="F83" s="135" t="s">
        <v>1077</v>
      </c>
      <c r="G83" s="135" t="s">
        <v>1078</v>
      </c>
      <c r="I83"/>
      <c r="J83"/>
      <c r="K83" t="s">
        <v>834</v>
      </c>
      <c r="L83" t="s">
        <v>1018</v>
      </c>
      <c r="M83"/>
      <c r="N83"/>
      <c r="O83" t="s">
        <v>460</v>
      </c>
      <c r="P83" t="s">
        <v>89</v>
      </c>
      <c r="Q83"/>
      <c r="R83"/>
      <c r="S83" t="s">
        <v>1079</v>
      </c>
      <c r="T83" t="s">
        <v>1080</v>
      </c>
    </row>
  </sheetData>
  <conditionalFormatting sqref="A33:N33">
    <cfRule type="expression" dxfId="16" priority="17">
      <formula>NOT($A33="Y")</formula>
    </cfRule>
  </conditionalFormatting>
  <conditionalFormatting sqref="A34:N34">
    <cfRule type="expression" dxfId="15" priority="16">
      <formula>NOT($A34="Y")</formula>
    </cfRule>
  </conditionalFormatting>
  <conditionalFormatting sqref="A35:N35">
    <cfRule type="expression" dxfId="14" priority="15">
      <formula>NOT($A35="Y")</formula>
    </cfRule>
  </conditionalFormatting>
  <conditionalFormatting sqref="A36:N36">
    <cfRule type="expression" dxfId="13" priority="14">
      <formula>NOT($A36="Y")</formula>
    </cfRule>
  </conditionalFormatting>
  <conditionalFormatting sqref="A37:N37">
    <cfRule type="expression" dxfId="12" priority="13">
      <formula>NOT($A37="Y")</formula>
    </cfRule>
  </conditionalFormatting>
  <conditionalFormatting sqref="A38:N38">
    <cfRule type="expression" dxfId="11" priority="12">
      <formula>NOT($A38="Y")</formula>
    </cfRule>
  </conditionalFormatting>
  <conditionalFormatting sqref="A39:M39">
    <cfRule type="expression" dxfId="10" priority="11">
      <formula>NOT($A39="Y")</formula>
    </cfRule>
  </conditionalFormatting>
  <conditionalFormatting sqref="A40:N40">
    <cfRule type="expression" dxfId="9" priority="10">
      <formula>NOT($A40="Y")</formula>
    </cfRule>
  </conditionalFormatting>
  <conditionalFormatting sqref="A41:N51">
    <cfRule type="expression" dxfId="8" priority="9">
      <formula>NOT($A41="Y")</formula>
    </cfRule>
  </conditionalFormatting>
  <conditionalFormatting sqref="A52:N52">
    <cfRule type="expression" dxfId="7" priority="8">
      <formula>NOT(#REF!="Y")</formula>
    </cfRule>
  </conditionalFormatting>
  <conditionalFormatting sqref="A53:N53">
    <cfRule type="expression" dxfId="6" priority="7">
      <formula>NOT(#REF!="Y")</formula>
    </cfRule>
  </conditionalFormatting>
  <conditionalFormatting sqref="A54:N54">
    <cfRule type="expression" dxfId="5" priority="6">
      <formula>NOT(#REF!="Y")</formula>
    </cfRule>
  </conditionalFormatting>
  <conditionalFormatting sqref="A55:O56">
    <cfRule type="expression" dxfId="4" priority="5">
      <formula>NOT(#REF!="Y")</formula>
    </cfRule>
  </conditionalFormatting>
  <hyperlinks>
    <hyperlink ref="N60" location="'Cross-Connects'!31:31" display="Yes"/>
    <hyperlink ref="N69" location="'Cross-Connects'!44:44" display="Yes"/>
    <hyperlink ref="N70" location="'Cross-Connects'!24:24" display="Yes"/>
    <hyperlink ref="N72" location="'Cross-Connects'!30:30" display="Yes"/>
    <hyperlink ref="M73" location="'Cross-Connects'!7:7" display="Yes"/>
    <hyperlink ref="P75" location="'Cross-Connects'!35:35" display="Yes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2FC42914-59A1-41D0-BF79-DB94A4784057}">
            <xm:f>NOT('Active Circuits'!#REF!="Y")</xm:f>
            <x14:dxf>
              <font>
                <b/>
                <i/>
              </font>
              <fill>
                <patternFill>
                  <bgColor rgb="FFFFFF00"/>
                </patternFill>
              </fill>
            </x14:dxf>
          </x14:cfRule>
          <xm:sqref>P61:Q61 A61:N61</xm:sqref>
        </x14:conditionalFormatting>
        <x14:conditionalFormatting xmlns:xm="http://schemas.microsoft.com/office/excel/2006/main">
          <x14:cfRule type="expression" priority="3" id="{51B84DD6-300F-4A05-9C22-4D4EA5775F27}">
            <xm:f>NOT('Active Circuits'!#REF!="Y")</xm:f>
            <x14:dxf>
              <font>
                <b/>
                <i/>
              </font>
              <fill>
                <patternFill>
                  <bgColor rgb="FFFFFF00"/>
                </patternFill>
              </fill>
            </x14:dxf>
          </x14:cfRule>
          <xm:sqref>P62:Q62 A62:N62</xm:sqref>
        </x14:conditionalFormatting>
        <x14:conditionalFormatting xmlns:xm="http://schemas.microsoft.com/office/excel/2006/main">
          <x14:cfRule type="expression" priority="2" id="{66775C75-1CE5-4DB1-B12B-CF5A7A733ADA}">
            <xm:f>NOT('Active Circuits'!#REF!="Y")</xm:f>
            <x14:dxf>
              <font>
                <b/>
                <i/>
              </font>
              <fill>
                <patternFill>
                  <bgColor rgb="FFFFFF00"/>
                </patternFill>
              </fill>
            </x14:dxf>
          </x14:cfRule>
          <xm:sqref>A63:N63 P63:Q63</xm:sqref>
        </x14:conditionalFormatting>
        <x14:conditionalFormatting xmlns:xm="http://schemas.microsoft.com/office/excel/2006/main">
          <x14:cfRule type="expression" priority="1" id="{DEC9F800-6082-4CB1-9BE4-D3762500FD49}">
            <xm:f>NOT('Active Circuits'!#REF!="Y")</xm:f>
            <x14:dxf>
              <font>
                <b/>
                <i/>
              </font>
              <fill>
                <patternFill>
                  <bgColor rgb="FFFFFF00"/>
                </patternFill>
              </fill>
            </x14:dxf>
          </x14:cfRule>
          <xm:sqref>A64:N64 P64:Q64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H74"/>
  <sheetViews>
    <sheetView topLeftCell="B1" workbookViewId="0">
      <selection activeCell="A41" sqref="A41:N51"/>
    </sheetView>
  </sheetViews>
  <sheetFormatPr defaultRowHeight="12.75" x14ac:dyDescent="0.2"/>
  <cols>
    <col min="1" max="1" width="31.85546875" customWidth="1"/>
    <col min="2" max="2" width="33.42578125" customWidth="1"/>
    <col min="3" max="3" width="36.28515625" customWidth="1"/>
    <col min="4" max="4" width="33.5703125" customWidth="1"/>
    <col min="5" max="5" width="39.140625" customWidth="1"/>
    <col min="6" max="6" width="76.28515625" customWidth="1"/>
  </cols>
  <sheetData>
    <row r="1" spans="1:8" x14ac:dyDescent="0.2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374</v>
      </c>
    </row>
    <row r="2" spans="1:8" s="6" customFormat="1" x14ac:dyDescent="0.2">
      <c r="A2" s="6" t="s">
        <v>373</v>
      </c>
      <c r="B2" s="6" t="s">
        <v>372</v>
      </c>
      <c r="C2" s="6" t="s">
        <v>371</v>
      </c>
      <c r="D2" s="9" t="s">
        <v>41</v>
      </c>
      <c r="E2" s="13" t="s">
        <v>370</v>
      </c>
      <c r="F2" s="9"/>
    </row>
    <row r="3" spans="1:8" x14ac:dyDescent="0.2">
      <c r="A3" s="3" t="s">
        <v>369</v>
      </c>
      <c r="B3" s="3" t="s">
        <v>368</v>
      </c>
      <c r="C3" s="3" t="s">
        <v>170</v>
      </c>
      <c r="D3" s="3" t="s">
        <v>188</v>
      </c>
      <c r="E3" s="3" t="s">
        <v>367</v>
      </c>
      <c r="F3" s="3" t="s">
        <v>366</v>
      </c>
      <c r="G3" s="3"/>
      <c r="H3" s="3"/>
    </row>
    <row r="4" spans="1:8" s="6" customFormat="1" x14ac:dyDescent="0.2">
      <c r="A4" s="6" t="s">
        <v>365</v>
      </c>
      <c r="B4" s="6" t="s">
        <v>364</v>
      </c>
      <c r="C4" s="6" t="s">
        <v>200</v>
      </c>
      <c r="D4" s="9" t="s">
        <v>363</v>
      </c>
      <c r="E4" s="13" t="s">
        <v>91</v>
      </c>
      <c r="F4" s="6" t="s">
        <v>362</v>
      </c>
    </row>
    <row r="5" spans="1:8" ht="25.5" x14ac:dyDescent="0.2">
      <c r="A5" s="3" t="s">
        <v>361</v>
      </c>
      <c r="B5" s="3" t="s">
        <v>360</v>
      </c>
      <c r="C5" s="3" t="s">
        <v>170</v>
      </c>
      <c r="D5" s="3" t="s">
        <v>188</v>
      </c>
      <c r="E5" s="5" t="s">
        <v>13</v>
      </c>
      <c r="F5" s="5" t="s">
        <v>359</v>
      </c>
      <c r="G5" s="3"/>
      <c r="H5" s="3"/>
    </row>
    <row r="6" spans="1:8" s="6" customFormat="1" x14ac:dyDescent="0.2">
      <c r="A6" s="6" t="s">
        <v>358</v>
      </c>
      <c r="B6" s="6" t="s">
        <v>357</v>
      </c>
      <c r="C6" s="6" t="s">
        <v>356</v>
      </c>
      <c r="D6" s="6" t="s">
        <v>355</v>
      </c>
      <c r="E6" s="6" t="s">
        <v>129</v>
      </c>
      <c r="F6" s="6" t="s">
        <v>354</v>
      </c>
    </row>
    <row r="7" spans="1:8" x14ac:dyDescent="0.2">
      <c r="A7" s="3" t="s">
        <v>353</v>
      </c>
      <c r="B7" s="3" t="s">
        <v>352</v>
      </c>
      <c r="C7" s="3" t="s">
        <v>170</v>
      </c>
      <c r="D7" s="3" t="s">
        <v>188</v>
      </c>
      <c r="E7" s="3" t="s">
        <v>351</v>
      </c>
      <c r="F7" s="3" t="s">
        <v>350</v>
      </c>
      <c r="G7" s="3"/>
      <c r="H7" s="3"/>
    </row>
    <row r="8" spans="1:8" s="6" customFormat="1" x14ac:dyDescent="0.2">
      <c r="A8" s="6" t="s">
        <v>349</v>
      </c>
      <c r="B8" s="6" t="s">
        <v>348</v>
      </c>
      <c r="C8" s="6" t="s">
        <v>200</v>
      </c>
      <c r="D8" s="9" t="s">
        <v>5</v>
      </c>
      <c r="E8" s="13" t="s">
        <v>111</v>
      </c>
      <c r="F8" s="9" t="s">
        <v>347</v>
      </c>
    </row>
    <row r="9" spans="1:8" s="3" customFormat="1" x14ac:dyDescent="0.2">
      <c r="A9" s="3" t="s">
        <v>346</v>
      </c>
      <c r="B9" s="3" t="s">
        <v>345</v>
      </c>
      <c r="C9" s="3" t="s">
        <v>174</v>
      </c>
      <c r="D9" s="3" t="s">
        <v>188</v>
      </c>
      <c r="E9" s="3" t="s">
        <v>344</v>
      </c>
      <c r="F9" s="3" t="s">
        <v>343</v>
      </c>
    </row>
    <row r="10" spans="1:8" x14ac:dyDescent="0.2">
      <c r="A10" s="3" t="s">
        <v>342</v>
      </c>
      <c r="B10" s="3" t="s">
        <v>341</v>
      </c>
      <c r="C10" s="3" t="s">
        <v>340</v>
      </c>
      <c r="D10" s="3" t="s">
        <v>242</v>
      </c>
      <c r="E10" s="3" t="s">
        <v>339</v>
      </c>
      <c r="F10" s="3" t="s">
        <v>338</v>
      </c>
      <c r="G10" s="3"/>
      <c r="H10" s="3"/>
    </row>
    <row r="11" spans="1:8" s="14" customFormat="1" ht="16.5" customHeight="1" x14ac:dyDescent="0.2">
      <c r="A11" s="3" t="s">
        <v>337</v>
      </c>
      <c r="B11" s="3" t="s">
        <v>336</v>
      </c>
      <c r="C11" s="3" t="s">
        <v>174</v>
      </c>
      <c r="D11" s="3" t="s">
        <v>335</v>
      </c>
      <c r="E11" s="3" t="s">
        <v>334</v>
      </c>
      <c r="F11" s="3" t="s">
        <v>333</v>
      </c>
      <c r="G11" s="3"/>
      <c r="H11" s="3"/>
    </row>
    <row r="12" spans="1:8" s="14" customFormat="1" ht="16.5" customHeight="1" x14ac:dyDescent="0.2">
      <c r="A12" s="3" t="s">
        <v>332</v>
      </c>
      <c r="B12" s="3" t="s">
        <v>331</v>
      </c>
      <c r="C12" s="3" t="s">
        <v>247</v>
      </c>
      <c r="D12" s="3" t="s">
        <v>188</v>
      </c>
      <c r="E12" s="3" t="s">
        <v>330</v>
      </c>
      <c r="F12" s="3" t="s">
        <v>329</v>
      </c>
      <c r="G12" s="3"/>
      <c r="H12" s="3"/>
    </row>
    <row r="13" spans="1:8" s="14" customFormat="1" ht="16.5" customHeight="1" x14ac:dyDescent="0.2">
      <c r="A13" s="3" t="s">
        <v>328</v>
      </c>
      <c r="B13" s="3" t="s">
        <v>327</v>
      </c>
      <c r="C13" s="3" t="s">
        <v>247</v>
      </c>
      <c r="D13" s="3" t="s">
        <v>188</v>
      </c>
      <c r="E13" s="3" t="s">
        <v>326</v>
      </c>
      <c r="F13" s="3" t="s">
        <v>325</v>
      </c>
      <c r="G13" s="3"/>
      <c r="H13" s="3"/>
    </row>
    <row r="14" spans="1:8" s="3" customFormat="1" ht="16.5" customHeight="1" x14ac:dyDescent="0.2">
      <c r="A14" s="3" t="s">
        <v>324</v>
      </c>
      <c r="B14" s="3" t="s">
        <v>323</v>
      </c>
      <c r="C14" s="3" t="s">
        <v>247</v>
      </c>
      <c r="D14" s="3" t="s">
        <v>304</v>
      </c>
      <c r="E14" s="3" t="s">
        <v>322</v>
      </c>
      <c r="F14" s="3" t="s">
        <v>321</v>
      </c>
    </row>
    <row r="15" spans="1:8" s="3" customFormat="1" x14ac:dyDescent="0.2">
      <c r="A15" s="3" t="s">
        <v>320</v>
      </c>
      <c r="B15" s="3" t="s">
        <v>319</v>
      </c>
      <c r="C15" s="3" t="s">
        <v>247</v>
      </c>
      <c r="D15" s="3" t="s">
        <v>188</v>
      </c>
      <c r="E15" s="3" t="s">
        <v>318</v>
      </c>
      <c r="F15" s="3" t="s">
        <v>317</v>
      </c>
    </row>
    <row r="16" spans="1:8" s="3" customFormat="1" x14ac:dyDescent="0.2">
      <c r="A16" s="3" t="s">
        <v>316</v>
      </c>
      <c r="B16" s="3" t="s">
        <v>315</v>
      </c>
      <c r="C16" s="3" t="s">
        <v>89</v>
      </c>
      <c r="D16" s="3" t="s">
        <v>250</v>
      </c>
      <c r="E16" s="3" t="s">
        <v>287</v>
      </c>
    </row>
    <row r="17" spans="1:8" s="14" customFormat="1" x14ac:dyDescent="0.2">
      <c r="A17" s="3" t="s">
        <v>314</v>
      </c>
      <c r="B17" s="3" t="s">
        <v>313</v>
      </c>
      <c r="C17" s="3" t="s">
        <v>174</v>
      </c>
      <c r="D17" s="3" t="s">
        <v>5</v>
      </c>
      <c r="E17" s="3" t="s">
        <v>312</v>
      </c>
      <c r="F17" s="3" t="s">
        <v>311</v>
      </c>
      <c r="G17" s="3"/>
      <c r="H17" s="3"/>
    </row>
    <row r="18" spans="1:8" s="6" customFormat="1" x14ac:dyDescent="0.2">
      <c r="A18" s="6" t="s">
        <v>310</v>
      </c>
      <c r="B18" s="6" t="s">
        <v>309</v>
      </c>
      <c r="C18" s="6" t="s">
        <v>308</v>
      </c>
      <c r="D18" s="6" t="s">
        <v>188</v>
      </c>
      <c r="E18" s="13" t="s">
        <v>18</v>
      </c>
      <c r="F18" s="13" t="s">
        <v>307</v>
      </c>
    </row>
    <row r="19" spans="1:8" s="3" customFormat="1" x14ac:dyDescent="0.2">
      <c r="A19" s="3" t="s">
        <v>306</v>
      </c>
      <c r="B19" s="3" t="s">
        <v>305</v>
      </c>
      <c r="C19" s="3" t="s">
        <v>247</v>
      </c>
      <c r="D19" s="3" t="s">
        <v>304</v>
      </c>
      <c r="F19" s="3" t="s">
        <v>303</v>
      </c>
    </row>
    <row r="20" spans="1:8" x14ac:dyDescent="0.2">
      <c r="A20" s="3" t="s">
        <v>302</v>
      </c>
      <c r="B20" s="3" t="s">
        <v>301</v>
      </c>
      <c r="C20" s="3" t="s">
        <v>247</v>
      </c>
      <c r="D20" s="3" t="s">
        <v>188</v>
      </c>
      <c r="E20" s="3" t="s">
        <v>300</v>
      </c>
      <c r="F20" s="3" t="s">
        <v>299</v>
      </c>
      <c r="G20" s="3"/>
      <c r="H20" s="3"/>
    </row>
    <row r="21" spans="1:8" s="3" customFormat="1" x14ac:dyDescent="0.2">
      <c r="A21" s="3" t="s">
        <v>298</v>
      </c>
      <c r="B21" s="3" t="s">
        <v>297</v>
      </c>
      <c r="C21" s="3" t="s">
        <v>247</v>
      </c>
      <c r="D21" s="3" t="s">
        <v>250</v>
      </c>
      <c r="E21" s="3" t="s">
        <v>287</v>
      </c>
      <c r="F21" s="3" t="s">
        <v>296</v>
      </c>
    </row>
    <row r="22" spans="1:8" s="6" customFormat="1" x14ac:dyDescent="0.2">
      <c r="A22" s="6" t="s">
        <v>295</v>
      </c>
      <c r="B22" s="6" t="s">
        <v>294</v>
      </c>
      <c r="C22" s="6" t="s">
        <v>170</v>
      </c>
      <c r="D22" s="6" t="s">
        <v>293</v>
      </c>
      <c r="E22" s="6" t="s">
        <v>292</v>
      </c>
    </row>
    <row r="23" spans="1:8" s="3" customFormat="1" x14ac:dyDescent="0.2">
      <c r="A23" s="3" t="s">
        <v>291</v>
      </c>
      <c r="B23" s="3" t="s">
        <v>290</v>
      </c>
      <c r="C23" s="3" t="s">
        <v>89</v>
      </c>
      <c r="D23" s="3" t="s">
        <v>250</v>
      </c>
      <c r="E23" s="3" t="s">
        <v>287</v>
      </c>
    </row>
    <row r="24" spans="1:8" s="3" customFormat="1" x14ac:dyDescent="0.2">
      <c r="A24" s="3" t="s">
        <v>289</v>
      </c>
      <c r="B24" s="3" t="s">
        <v>288</v>
      </c>
      <c r="C24" s="3" t="s">
        <v>89</v>
      </c>
      <c r="D24" s="3" t="s">
        <v>250</v>
      </c>
      <c r="E24" s="3" t="s">
        <v>287</v>
      </c>
    </row>
    <row r="25" spans="1:8" s="6" customFormat="1" x14ac:dyDescent="0.2">
      <c r="A25" s="6" t="s">
        <v>286</v>
      </c>
      <c r="B25" s="6" t="s">
        <v>285</v>
      </c>
      <c r="C25" s="6" t="s">
        <v>166</v>
      </c>
      <c r="D25" s="6" t="s">
        <v>42</v>
      </c>
      <c r="E25" s="6" t="s">
        <v>94</v>
      </c>
    </row>
    <row r="26" spans="1:8" s="6" customFormat="1" x14ac:dyDescent="0.2">
      <c r="A26" s="6" t="s">
        <v>284</v>
      </c>
      <c r="B26" s="6" t="s">
        <v>283</v>
      </c>
      <c r="C26" s="6" t="s">
        <v>184</v>
      </c>
      <c r="D26" s="6" t="s">
        <v>15</v>
      </c>
      <c r="E26" s="6" t="s">
        <v>282</v>
      </c>
      <c r="F26" s="6" t="s">
        <v>138</v>
      </c>
    </row>
    <row r="27" spans="1:8" s="3" customFormat="1" x14ac:dyDescent="0.2">
      <c r="A27" s="3" t="s">
        <v>281</v>
      </c>
      <c r="B27" s="3" t="s">
        <v>280</v>
      </c>
      <c r="C27" s="3" t="s">
        <v>174</v>
      </c>
      <c r="D27" s="3" t="s">
        <v>238</v>
      </c>
      <c r="E27" s="3" t="s">
        <v>279</v>
      </c>
    </row>
    <row r="28" spans="1:8" s="3" customFormat="1" x14ac:dyDescent="0.2">
      <c r="A28" s="3" t="s">
        <v>278</v>
      </c>
      <c r="B28" s="3" t="s">
        <v>277</v>
      </c>
      <c r="C28" s="3" t="s">
        <v>7</v>
      </c>
      <c r="D28" s="3" t="s">
        <v>238</v>
      </c>
      <c r="E28" s="3" t="s">
        <v>276</v>
      </c>
    </row>
    <row r="29" spans="1:8" s="3" customFormat="1" x14ac:dyDescent="0.2">
      <c r="A29" s="3" t="s">
        <v>275</v>
      </c>
      <c r="B29" s="3" t="s">
        <v>274</v>
      </c>
      <c r="C29" s="3" t="s">
        <v>174</v>
      </c>
      <c r="D29" s="3" t="s">
        <v>273</v>
      </c>
      <c r="E29" s="3" t="s">
        <v>6</v>
      </c>
    </row>
    <row r="30" spans="1:8" s="3" customFormat="1" ht="13.5" customHeight="1" x14ac:dyDescent="0.2">
      <c r="A30" s="3" t="s">
        <v>272</v>
      </c>
      <c r="B30" s="3" t="s">
        <v>271</v>
      </c>
      <c r="C30" s="3" t="s">
        <v>174</v>
      </c>
      <c r="D30" s="3" t="s">
        <v>242</v>
      </c>
      <c r="E30" s="12" t="s">
        <v>270</v>
      </c>
      <c r="F30" s="12"/>
    </row>
    <row r="31" spans="1:8" s="3" customFormat="1" x14ac:dyDescent="0.2">
      <c r="A31" s="3" t="s">
        <v>253</v>
      </c>
      <c r="B31" s="3" t="s">
        <v>269</v>
      </c>
      <c r="C31" s="3" t="s">
        <v>247</v>
      </c>
      <c r="D31" s="3" t="s">
        <v>188</v>
      </c>
      <c r="E31" s="3" t="s">
        <v>268</v>
      </c>
    </row>
    <row r="32" spans="1:8" s="3" customFormat="1" x14ac:dyDescent="0.2">
      <c r="A32" s="3" t="s">
        <v>267</v>
      </c>
      <c r="B32" s="3" t="s">
        <v>266</v>
      </c>
      <c r="C32" s="3" t="s">
        <v>247</v>
      </c>
      <c r="D32" s="3" t="s">
        <v>188</v>
      </c>
      <c r="E32" s="3" t="s">
        <v>265</v>
      </c>
    </row>
    <row r="33" spans="1:8" s="6" customFormat="1" x14ac:dyDescent="0.2">
      <c r="A33" s="6" t="s">
        <v>264</v>
      </c>
      <c r="B33" s="6" t="s">
        <v>263</v>
      </c>
      <c r="C33" s="6" t="s">
        <v>262</v>
      </c>
      <c r="D33" s="9" t="s">
        <v>12</v>
      </c>
      <c r="E33" s="6" t="s">
        <v>261</v>
      </c>
    </row>
    <row r="34" spans="1:8" s="3" customFormat="1" x14ac:dyDescent="0.2">
      <c r="A34" s="3" t="s">
        <v>260</v>
      </c>
      <c r="B34" s="3" t="s">
        <v>259</v>
      </c>
      <c r="C34" s="3" t="s">
        <v>174</v>
      </c>
      <c r="D34" s="3" t="s">
        <v>188</v>
      </c>
      <c r="E34" s="3" t="s">
        <v>258</v>
      </c>
    </row>
    <row r="35" spans="1:8" s="3" customFormat="1" x14ac:dyDescent="0.2">
      <c r="A35" s="3" t="s">
        <v>257</v>
      </c>
      <c r="B35" s="3" t="s">
        <v>256</v>
      </c>
      <c r="C35" s="3" t="s">
        <v>174</v>
      </c>
      <c r="D35" s="3" t="s">
        <v>242</v>
      </c>
      <c r="E35" s="3" t="s">
        <v>255</v>
      </c>
    </row>
    <row r="36" spans="1:8" s="3" customFormat="1" x14ac:dyDescent="0.2">
      <c r="A36" s="3" t="s">
        <v>254</v>
      </c>
      <c r="B36" s="3" t="s">
        <v>253</v>
      </c>
      <c r="C36" s="3" t="s">
        <v>247</v>
      </c>
      <c r="D36" s="3" t="s">
        <v>250</v>
      </c>
      <c r="E36" s="3" t="s">
        <v>250</v>
      </c>
    </row>
    <row r="37" spans="1:8" s="3" customFormat="1" x14ac:dyDescent="0.2">
      <c r="A37" s="3" t="s">
        <v>252</v>
      </c>
      <c r="B37" s="3" t="s">
        <v>251</v>
      </c>
      <c r="C37" s="3" t="s">
        <v>247</v>
      </c>
      <c r="D37" s="3" t="s">
        <v>250</v>
      </c>
      <c r="E37" s="3" t="s">
        <v>250</v>
      </c>
    </row>
    <row r="38" spans="1:8" s="3" customFormat="1" x14ac:dyDescent="0.2">
      <c r="A38" s="3" t="s">
        <v>249</v>
      </c>
      <c r="B38" s="3" t="s">
        <v>248</v>
      </c>
      <c r="C38" s="3" t="s">
        <v>247</v>
      </c>
      <c r="D38" s="3" t="s">
        <v>246</v>
      </c>
      <c r="E38" s="3" t="s">
        <v>245</v>
      </c>
    </row>
    <row r="39" spans="1:8" s="3" customFormat="1" x14ac:dyDescent="0.2">
      <c r="A39" s="3" t="s">
        <v>244</v>
      </c>
      <c r="B39" s="3" t="s">
        <v>243</v>
      </c>
      <c r="C39" s="3" t="s">
        <v>174</v>
      </c>
      <c r="D39" s="3" t="s">
        <v>242</v>
      </c>
      <c r="E39" s="3" t="s">
        <v>241</v>
      </c>
    </row>
    <row r="40" spans="1:8" s="3" customFormat="1" x14ac:dyDescent="0.2">
      <c r="A40" s="3" t="s">
        <v>240</v>
      </c>
      <c r="B40" s="3" t="s">
        <v>239</v>
      </c>
      <c r="C40" s="3" t="s">
        <v>7</v>
      </c>
      <c r="D40" s="3" t="s">
        <v>238</v>
      </c>
      <c r="E40" s="3" t="s">
        <v>237</v>
      </c>
    </row>
    <row r="41" spans="1:8" s="6" customFormat="1" x14ac:dyDescent="0.2">
      <c r="A41" s="6" t="s">
        <v>236</v>
      </c>
      <c r="B41" s="6" t="s">
        <v>235</v>
      </c>
      <c r="C41" s="6" t="s">
        <v>7</v>
      </c>
      <c r="D41" s="6" t="s">
        <v>232</v>
      </c>
      <c r="E41" s="6" t="s">
        <v>8</v>
      </c>
    </row>
    <row r="42" spans="1:8" s="6" customFormat="1" x14ac:dyDescent="0.2">
      <c r="A42" s="6" t="s">
        <v>234</v>
      </c>
      <c r="B42" s="6" t="s">
        <v>233</v>
      </c>
      <c r="C42" s="6" t="s">
        <v>174</v>
      </c>
      <c r="D42" s="6" t="s">
        <v>232</v>
      </c>
      <c r="E42" s="6" t="s">
        <v>231</v>
      </c>
    </row>
    <row r="43" spans="1:8" s="6" customFormat="1" x14ac:dyDescent="0.2">
      <c r="A43" s="6" t="s">
        <v>230</v>
      </c>
      <c r="B43" s="6" t="s">
        <v>229</v>
      </c>
      <c r="C43" s="6" t="s">
        <v>105</v>
      </c>
      <c r="D43" s="9" t="s">
        <v>15</v>
      </c>
      <c r="E43" s="6" t="s">
        <v>108</v>
      </c>
    </row>
    <row r="44" spans="1:8" s="6" customFormat="1" x14ac:dyDescent="0.2">
      <c r="A44" s="6" t="s">
        <v>228</v>
      </c>
      <c r="B44" s="6" t="s">
        <v>227</v>
      </c>
      <c r="C44" s="6" t="s">
        <v>226</v>
      </c>
      <c r="D44" s="6" t="s">
        <v>15</v>
      </c>
      <c r="E44" s="6" t="s">
        <v>225</v>
      </c>
    </row>
    <row r="45" spans="1:8" s="6" customFormat="1" x14ac:dyDescent="0.2">
      <c r="A45" s="6" t="s">
        <v>224</v>
      </c>
      <c r="B45" s="6" t="s">
        <v>223</v>
      </c>
      <c r="C45" s="6" t="s">
        <v>200</v>
      </c>
      <c r="D45" s="9" t="s">
        <v>222</v>
      </c>
      <c r="E45" s="6" t="s">
        <v>109</v>
      </c>
    </row>
    <row r="46" spans="1:8" s="3" customFormat="1" x14ac:dyDescent="0.2">
      <c r="A46" s="3" t="s">
        <v>221</v>
      </c>
      <c r="B46" s="3" t="s">
        <v>220</v>
      </c>
      <c r="C46" s="3" t="s">
        <v>219</v>
      </c>
      <c r="D46" s="11" t="s">
        <v>19</v>
      </c>
      <c r="E46" s="3" t="s">
        <v>218</v>
      </c>
    </row>
    <row r="47" spans="1:8" ht="18.75" customHeight="1" x14ac:dyDescent="0.2">
      <c r="A47" s="3" t="s">
        <v>217</v>
      </c>
      <c r="B47" s="3" t="s">
        <v>216</v>
      </c>
      <c r="C47" s="3" t="s">
        <v>212</v>
      </c>
      <c r="D47" s="11" t="s">
        <v>15</v>
      </c>
      <c r="E47" s="3" t="s">
        <v>215</v>
      </c>
      <c r="F47" s="3"/>
      <c r="G47" s="3"/>
      <c r="H47" s="3"/>
    </row>
    <row r="48" spans="1:8" s="6" customFormat="1" ht="16.5" customHeight="1" x14ac:dyDescent="0.2">
      <c r="A48" s="6" t="s">
        <v>214</v>
      </c>
      <c r="B48" s="6" t="s">
        <v>213</v>
      </c>
      <c r="C48" s="6" t="s">
        <v>212</v>
      </c>
      <c r="D48" s="6" t="s">
        <v>188</v>
      </c>
      <c r="E48" s="10" t="s">
        <v>17</v>
      </c>
      <c r="F48" s="10" t="s">
        <v>139</v>
      </c>
    </row>
    <row r="49" spans="1:8" s="6" customFormat="1" x14ac:dyDescent="0.2">
      <c r="A49" s="6" t="s">
        <v>211</v>
      </c>
      <c r="B49" s="6" t="s">
        <v>210</v>
      </c>
      <c r="C49" s="6" t="s">
        <v>209</v>
      </c>
      <c r="D49" s="9" t="s">
        <v>42</v>
      </c>
      <c r="E49" s="6" t="s">
        <v>93</v>
      </c>
    </row>
    <row r="50" spans="1:8" s="6" customFormat="1" x14ac:dyDescent="0.2">
      <c r="A50" s="6" t="s">
        <v>208</v>
      </c>
      <c r="B50" s="6" t="s">
        <v>110</v>
      </c>
      <c r="C50" s="6" t="s">
        <v>207</v>
      </c>
      <c r="D50" s="9" t="s">
        <v>188</v>
      </c>
      <c r="E50" s="6" t="s">
        <v>107</v>
      </c>
    </row>
    <row r="51" spans="1:8" s="6" customFormat="1" x14ac:dyDescent="0.2">
      <c r="A51" s="6" t="s">
        <v>206</v>
      </c>
      <c r="B51" s="6" t="s">
        <v>205</v>
      </c>
      <c r="C51" s="6" t="s">
        <v>204</v>
      </c>
      <c r="D51" s="9" t="s">
        <v>12</v>
      </c>
      <c r="E51" s="6" t="s">
        <v>203</v>
      </c>
    </row>
    <row r="52" spans="1:8" s="6" customFormat="1" x14ac:dyDescent="0.2">
      <c r="A52" s="6" t="s">
        <v>202</v>
      </c>
      <c r="B52" s="6" t="s">
        <v>201</v>
      </c>
      <c r="C52" s="6" t="s">
        <v>200</v>
      </c>
      <c r="D52" s="9" t="s">
        <v>19</v>
      </c>
      <c r="E52" s="6" t="s">
        <v>20</v>
      </c>
    </row>
    <row r="53" spans="1:8" s="6" customFormat="1" x14ac:dyDescent="0.2">
      <c r="A53" s="6" t="s">
        <v>199</v>
      </c>
      <c r="B53" s="6" t="s">
        <v>198</v>
      </c>
      <c r="C53" s="6" t="s">
        <v>197</v>
      </c>
      <c r="D53" s="6" t="s">
        <v>12</v>
      </c>
      <c r="E53" s="6" t="s">
        <v>196</v>
      </c>
      <c r="F53" s="6" t="s">
        <v>140</v>
      </c>
    </row>
    <row r="54" spans="1:8" s="6" customFormat="1" x14ac:dyDescent="0.2">
      <c r="A54" s="6" t="s">
        <v>195</v>
      </c>
      <c r="B54" s="6" t="s">
        <v>194</v>
      </c>
      <c r="C54" s="6" t="s">
        <v>193</v>
      </c>
      <c r="D54" s="6" t="s">
        <v>192</v>
      </c>
      <c r="E54" s="6" t="s">
        <v>99</v>
      </c>
      <c r="F54" s="6" t="s">
        <v>191</v>
      </c>
    </row>
    <row r="55" spans="1:8" s="3" customFormat="1" x14ac:dyDescent="0.2">
      <c r="A55" s="3" t="s">
        <v>190</v>
      </c>
      <c r="B55" s="3" t="s">
        <v>189</v>
      </c>
      <c r="C55" s="3" t="s">
        <v>170</v>
      </c>
      <c r="D55" s="3" t="s">
        <v>188</v>
      </c>
      <c r="E55" s="5" t="s">
        <v>16</v>
      </c>
      <c r="F55" s="5" t="s">
        <v>187</v>
      </c>
    </row>
    <row r="56" spans="1:8" s="6" customFormat="1" ht="16.5" customHeight="1" x14ac:dyDescent="0.2">
      <c r="A56" s="6" t="s">
        <v>186</v>
      </c>
      <c r="B56" s="6" t="s">
        <v>185</v>
      </c>
      <c r="C56" s="6" t="s">
        <v>184</v>
      </c>
      <c r="D56" s="9" t="s">
        <v>15</v>
      </c>
      <c r="E56" s="8" t="s">
        <v>120</v>
      </c>
      <c r="F56" s="7" t="s">
        <v>141</v>
      </c>
    </row>
    <row r="57" spans="1:8" s="3" customFormat="1" x14ac:dyDescent="0.2">
      <c r="A57" s="3" t="s">
        <v>183</v>
      </c>
      <c r="B57" s="3" t="s">
        <v>182</v>
      </c>
      <c r="C57" s="3" t="s">
        <v>174</v>
      </c>
      <c r="D57" s="3" t="s">
        <v>9</v>
      </c>
    </row>
    <row r="58" spans="1:8" s="6" customFormat="1" x14ac:dyDescent="0.2">
      <c r="A58" s="6" t="s">
        <v>181</v>
      </c>
      <c r="B58" s="6" t="s">
        <v>180</v>
      </c>
      <c r="C58" s="6" t="s">
        <v>174</v>
      </c>
      <c r="D58" s="6" t="s">
        <v>9</v>
      </c>
    </row>
    <row r="59" spans="1:8" s="3" customFormat="1" x14ac:dyDescent="0.2">
      <c r="A59" s="3" t="s">
        <v>179</v>
      </c>
      <c r="B59" s="3" t="s">
        <v>178</v>
      </c>
      <c r="C59" s="3" t="s">
        <v>174</v>
      </c>
      <c r="D59" s="3" t="s">
        <v>177</v>
      </c>
    </row>
    <row r="60" spans="1:8" s="3" customFormat="1" x14ac:dyDescent="0.2">
      <c r="A60" s="3" t="s">
        <v>176</v>
      </c>
      <c r="B60" s="3" t="s">
        <v>175</v>
      </c>
      <c r="C60" s="3" t="s">
        <v>174</v>
      </c>
      <c r="D60" s="3" t="s">
        <v>9</v>
      </c>
      <c r="E60" s="3" t="s">
        <v>173</v>
      </c>
    </row>
    <row r="61" spans="1:8" x14ac:dyDescent="0.2">
      <c r="A61" s="3" t="s">
        <v>172</v>
      </c>
      <c r="B61" s="3" t="s">
        <v>171</v>
      </c>
      <c r="C61" s="3" t="s">
        <v>170</v>
      </c>
      <c r="D61" s="3" t="s">
        <v>15</v>
      </c>
      <c r="E61" s="5" t="s">
        <v>14</v>
      </c>
      <c r="F61" s="5" t="s">
        <v>169</v>
      </c>
      <c r="G61" s="3"/>
      <c r="H61" s="3"/>
    </row>
    <row r="62" spans="1:8" s="3" customFormat="1" x14ac:dyDescent="0.2">
      <c r="A62" s="3" t="s">
        <v>168</v>
      </c>
      <c r="B62" s="3" t="s">
        <v>167</v>
      </c>
      <c r="C62" s="3" t="s">
        <v>166</v>
      </c>
      <c r="D62" s="3" t="s">
        <v>165</v>
      </c>
      <c r="E62" s="3" t="s">
        <v>164</v>
      </c>
      <c r="F62" s="3" t="s">
        <v>163</v>
      </c>
    </row>
    <row r="63" spans="1:8" ht="15" x14ac:dyDescent="0.25">
      <c r="E63" s="4"/>
    </row>
    <row r="64" spans="1:8" ht="15" x14ac:dyDescent="0.25">
      <c r="E64" s="4"/>
    </row>
    <row r="65" spans="1:8" x14ac:dyDescent="0.2">
      <c r="A65" t="s">
        <v>162</v>
      </c>
    </row>
    <row r="66" spans="1:8" x14ac:dyDescent="0.2">
      <c r="A66" t="s">
        <v>161</v>
      </c>
    </row>
    <row r="67" spans="1:8" x14ac:dyDescent="0.2">
      <c r="A67" t="s">
        <v>160</v>
      </c>
    </row>
    <row r="68" spans="1:8" x14ac:dyDescent="0.2">
      <c r="A68" t="s">
        <v>159</v>
      </c>
    </row>
    <row r="69" spans="1:8" x14ac:dyDescent="0.2">
      <c r="A69" t="s">
        <v>158</v>
      </c>
    </row>
    <row r="70" spans="1:8" x14ac:dyDescent="0.2">
      <c r="A70" t="s">
        <v>157</v>
      </c>
    </row>
    <row r="71" spans="1:8" x14ac:dyDescent="0.2">
      <c r="A71" t="s">
        <v>156</v>
      </c>
    </row>
    <row r="72" spans="1:8" s="3" customFormat="1" x14ac:dyDescent="0.2">
      <c r="A72" t="s">
        <v>155</v>
      </c>
      <c r="B72"/>
      <c r="C72"/>
      <c r="D72"/>
      <c r="E72"/>
      <c r="F72"/>
      <c r="G72"/>
      <c r="H72"/>
    </row>
    <row r="74" spans="1:8" s="1" customFormat="1" x14ac:dyDescent="0.2">
      <c r="A74" t="s">
        <v>154</v>
      </c>
      <c r="B74"/>
      <c r="C74"/>
      <c r="D74"/>
      <c r="E74" s="2"/>
      <c r="F74" s="2"/>
      <c r="G74"/>
      <c r="H74"/>
    </row>
  </sheetData>
  <autoFilter ref="A1:H74">
    <sortState ref="A2:H74">
      <sortCondition descending="1" ref="A1:A74"/>
    </sortState>
  </autoFilter>
  <printOptions gridLines="1"/>
  <pageMargins left="0.7" right="0.7" top="0.75" bottom="0.75" header="0.3" footer="0.3"/>
  <pageSetup scale="45" fitToHeight="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2"/>
  <sheetViews>
    <sheetView workbookViewId="0">
      <selection activeCell="A41" sqref="A41:N51"/>
    </sheetView>
  </sheetViews>
  <sheetFormatPr defaultRowHeight="12.75" x14ac:dyDescent="0.2"/>
  <cols>
    <col min="1" max="1" width="27.42578125" customWidth="1"/>
    <col min="2" max="2" width="35.7109375" customWidth="1"/>
    <col min="3" max="3" width="34.28515625" customWidth="1"/>
  </cols>
  <sheetData>
    <row r="1" spans="1:3" x14ac:dyDescent="0.2">
      <c r="A1" t="s">
        <v>424</v>
      </c>
    </row>
    <row r="3" spans="1:3" ht="15" x14ac:dyDescent="0.25">
      <c r="A3" s="16" t="s">
        <v>423</v>
      </c>
      <c r="B3" s="16" t="s">
        <v>242</v>
      </c>
      <c r="C3" s="16" t="s">
        <v>422</v>
      </c>
    </row>
    <row r="4" spans="1:3" ht="15" x14ac:dyDescent="0.25">
      <c r="A4" s="16" t="s">
        <v>421</v>
      </c>
      <c r="B4" s="16" t="s">
        <v>242</v>
      </c>
      <c r="C4" s="16" t="s">
        <v>420</v>
      </c>
    </row>
    <row r="5" spans="1:3" x14ac:dyDescent="0.2">
      <c r="A5" t="s">
        <v>419</v>
      </c>
      <c r="B5" t="s">
        <v>242</v>
      </c>
      <c r="C5" t="s">
        <v>418</v>
      </c>
    </row>
    <row r="6" spans="1:3" x14ac:dyDescent="0.2">
      <c r="A6" t="s">
        <v>417</v>
      </c>
      <c r="B6" t="s">
        <v>242</v>
      </c>
      <c r="C6" t="s">
        <v>416</v>
      </c>
    </row>
    <row r="7" spans="1:3" x14ac:dyDescent="0.2">
      <c r="A7" t="s">
        <v>415</v>
      </c>
      <c r="B7" t="s">
        <v>242</v>
      </c>
      <c r="C7" t="s">
        <v>414</v>
      </c>
    </row>
    <row r="8" spans="1:3" x14ac:dyDescent="0.2">
      <c r="A8" t="s">
        <v>413</v>
      </c>
      <c r="B8" t="s">
        <v>242</v>
      </c>
      <c r="C8" t="s">
        <v>412</v>
      </c>
    </row>
    <row r="9" spans="1:3" x14ac:dyDescent="0.2">
      <c r="A9" t="s">
        <v>411</v>
      </c>
      <c r="B9" t="s">
        <v>242</v>
      </c>
      <c r="C9" t="s">
        <v>410</v>
      </c>
    </row>
    <row r="10" spans="1:3" x14ac:dyDescent="0.2">
      <c r="A10" t="s">
        <v>409</v>
      </c>
      <c r="B10" t="s">
        <v>242</v>
      </c>
      <c r="C10" t="s">
        <v>408</v>
      </c>
    </row>
    <row r="11" spans="1:3" x14ac:dyDescent="0.2">
      <c r="A11" t="s">
        <v>407</v>
      </c>
      <c r="B11" s="15" t="s">
        <v>242</v>
      </c>
      <c r="C11" t="s">
        <v>406</v>
      </c>
    </row>
    <row r="12" spans="1:3" x14ac:dyDescent="0.2">
      <c r="A12" t="s">
        <v>405</v>
      </c>
      <c r="B12" t="s">
        <v>402</v>
      </c>
      <c r="C12" t="s">
        <v>404</v>
      </c>
    </row>
    <row r="13" spans="1:3" x14ac:dyDescent="0.2">
      <c r="A13" t="s">
        <v>403</v>
      </c>
      <c r="B13" t="s">
        <v>402</v>
      </c>
      <c r="C13" t="s">
        <v>401</v>
      </c>
    </row>
    <row r="14" spans="1:3" x14ac:dyDescent="0.2">
      <c r="A14" t="s">
        <v>400</v>
      </c>
      <c r="B14" t="s">
        <v>242</v>
      </c>
      <c r="C14">
        <v>101258</v>
      </c>
    </row>
    <row r="15" spans="1:3" x14ac:dyDescent="0.2">
      <c r="A15" t="s">
        <v>399</v>
      </c>
      <c r="B15" t="s">
        <v>242</v>
      </c>
      <c r="C15">
        <v>101259</v>
      </c>
    </row>
    <row r="16" spans="1:3" x14ac:dyDescent="0.2">
      <c r="A16" t="s">
        <v>398</v>
      </c>
      <c r="B16" t="s">
        <v>242</v>
      </c>
      <c r="C16">
        <v>101260</v>
      </c>
    </row>
    <row r="17" spans="1:3" x14ac:dyDescent="0.2">
      <c r="A17" t="s">
        <v>397</v>
      </c>
      <c r="B17" t="s">
        <v>396</v>
      </c>
      <c r="C17" t="s">
        <v>395</v>
      </c>
    </row>
    <row r="18" spans="1:3" x14ac:dyDescent="0.2">
      <c r="A18" t="s">
        <v>394</v>
      </c>
      <c r="B18" t="s">
        <v>393</v>
      </c>
      <c r="C18" t="s">
        <v>392</v>
      </c>
    </row>
    <row r="19" spans="1:3" x14ac:dyDescent="0.2">
      <c r="A19" t="s">
        <v>391</v>
      </c>
      <c r="B19" t="s">
        <v>390</v>
      </c>
      <c r="C19" t="s">
        <v>389</v>
      </c>
    </row>
    <row r="21" spans="1:3" x14ac:dyDescent="0.2">
      <c r="A21" t="s">
        <v>388</v>
      </c>
    </row>
    <row r="23" spans="1:3" x14ac:dyDescent="0.2">
      <c r="A23" t="s">
        <v>387</v>
      </c>
      <c r="B23" t="s">
        <v>5</v>
      </c>
      <c r="C23" t="s">
        <v>386</v>
      </c>
    </row>
    <row r="24" spans="1:3" x14ac:dyDescent="0.2">
      <c r="A24" t="s">
        <v>385</v>
      </c>
      <c r="B24" t="s">
        <v>5</v>
      </c>
      <c r="C24" t="s">
        <v>384</v>
      </c>
    </row>
    <row r="25" spans="1:3" x14ac:dyDescent="0.2">
      <c r="A25" t="s">
        <v>383</v>
      </c>
      <c r="B25" t="s">
        <v>5</v>
      </c>
      <c r="C25" t="s">
        <v>381</v>
      </c>
    </row>
    <row r="26" spans="1:3" x14ac:dyDescent="0.2">
      <c r="A26" t="s">
        <v>382</v>
      </c>
      <c r="B26" t="s">
        <v>5</v>
      </c>
      <c r="C26" t="s">
        <v>381</v>
      </c>
    </row>
    <row r="27" spans="1:3" x14ac:dyDescent="0.2">
      <c r="A27" t="s">
        <v>380</v>
      </c>
      <c r="B27" t="s">
        <v>5</v>
      </c>
      <c r="C27" t="s">
        <v>379</v>
      </c>
    </row>
    <row r="28" spans="1:3" x14ac:dyDescent="0.2">
      <c r="A28" t="s">
        <v>378</v>
      </c>
      <c r="B28" t="s">
        <v>188</v>
      </c>
      <c r="C28" t="s">
        <v>10</v>
      </c>
    </row>
    <row r="29" spans="1:3" x14ac:dyDescent="0.2">
      <c r="A29" t="s">
        <v>377</v>
      </c>
      <c r="B29" t="s">
        <v>376</v>
      </c>
      <c r="C29" t="s">
        <v>375</v>
      </c>
    </row>
    <row r="31" spans="1:3" x14ac:dyDescent="0.2">
      <c r="A31" t="s">
        <v>434</v>
      </c>
    </row>
    <row r="32" spans="1:3" x14ac:dyDescent="0.2">
      <c r="A32" t="s">
        <v>435</v>
      </c>
      <c r="B32" t="s">
        <v>242</v>
      </c>
      <c r="C32" t="s">
        <v>436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Active Circuits</vt:lpstr>
      <vt:lpstr>Names</vt:lpstr>
      <vt:lpstr>Cross-Connects</vt:lpstr>
      <vt:lpstr>Inactive FiNE Circuits</vt:lpstr>
      <vt:lpstr>Nodefibers (OLD)</vt:lpstr>
      <vt:lpstr>DC&amp;LA Local Loops (OLD)</vt:lpstr>
      <vt:lpstr>'Active Circuits'!Print_Area</vt:lpstr>
      <vt:lpstr>'Cross-Connects'!Print_Area</vt:lpstr>
      <vt:lpstr>Regions</vt:lpstr>
    </vt:vector>
  </TitlesOfParts>
  <Company>Eurovision Americas,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Mandelson, Adam</cp:lastModifiedBy>
  <cp:lastPrinted>2018-04-05T18:56:46Z</cp:lastPrinted>
  <dcterms:created xsi:type="dcterms:W3CDTF">2011-10-20T12:49:16Z</dcterms:created>
  <dcterms:modified xsi:type="dcterms:W3CDTF">2020-11-09T21:23:34Z</dcterms:modified>
</cp:coreProperties>
</file>